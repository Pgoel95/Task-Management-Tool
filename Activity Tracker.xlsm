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7bb439e325841d8/Desktop/Excel/Activity Tracker/"/>
    </mc:Choice>
  </mc:AlternateContent>
  <xr:revisionPtr revIDLastSave="782" documentId="13_ncr:1_{EC62C5E0-9ACB-4128-B6DC-75B6F41E7EAC}" xr6:coauthVersionLast="47" xr6:coauthVersionMax="47" xr10:uidLastSave="{2806AD36-2594-40D6-B75F-BB2D3818C97B}"/>
  <bookViews>
    <workbookView xWindow="-108" yWindow="-108" windowWidth="23256" windowHeight="12456" xr2:uid="{2DE27622-C86A-4920-8190-4B40398D14D2}"/>
  </bookViews>
  <sheets>
    <sheet name="To-Do List" sheetId="1" r:id="rId1"/>
    <sheet name="Master List" sheetId="3" r:id="rId2"/>
    <sheet name="Support" sheetId="2" r:id="rId3"/>
  </sheets>
  <definedNames>
    <definedName name="IA">'To-Do List'!$J$8</definedName>
    <definedName name="previous_start">'To-Do List'!$Z$8</definedName>
    <definedName name="Priority_list">'Master List'!$M$3:$M$5</definedName>
    <definedName name="start">'To-Do List'!$Y$8</definedName>
    <definedName name="Status_names">'Master List'!$N$3:$N$7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2" i="3" l="1"/>
  <c r="H43" i="3"/>
  <c r="H36" i="3"/>
  <c r="X17" i="1" a="1"/>
  <c r="X17" i="1" s="1"/>
  <c r="H44" i="3"/>
  <c r="H41" i="3"/>
  <c r="H40" i="3"/>
  <c r="H39" i="3"/>
  <c r="H38" i="3"/>
  <c r="H37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A15" i="1" l="1"/>
  <c r="B15" i="1"/>
  <c r="C15" i="1"/>
  <c r="D15" i="1" s="1"/>
  <c r="E15" i="1" s="1"/>
  <c r="F15" i="1" s="1"/>
  <c r="G15" i="1" s="1"/>
  <c r="I32" i="1"/>
  <c r="I33" i="1"/>
  <c r="I34" i="1"/>
  <c r="I23" i="1"/>
  <c r="I24" i="1"/>
  <c r="I25" i="1"/>
  <c r="I26" i="1"/>
  <c r="I27" i="1"/>
  <c r="I28" i="1"/>
  <c r="I29" i="1"/>
  <c r="I30" i="1"/>
  <c r="I31" i="1"/>
  <c r="I13" i="1"/>
  <c r="I14" i="1"/>
  <c r="I15" i="1"/>
  <c r="I16" i="1"/>
  <c r="I17" i="1"/>
  <c r="I18" i="1"/>
  <c r="I19" i="1"/>
  <c r="I20" i="1"/>
  <c r="I21" i="1"/>
  <c r="I22" i="1"/>
  <c r="I12" i="1"/>
  <c r="A19" i="1" l="1"/>
  <c r="Z8" i="1" s="1"/>
  <c r="Y8" i="1"/>
  <c r="A13" i="2"/>
  <c r="A12" i="2"/>
  <c r="A11" i="2"/>
  <c r="A10" i="2"/>
  <c r="A9" i="2"/>
  <c r="A8" i="2"/>
  <c r="A7" i="2"/>
  <c r="A6" i="2"/>
  <c r="A5" i="2"/>
  <c r="A4" i="2"/>
  <c r="A2" i="2"/>
  <c r="A3" i="2"/>
  <c r="A21" i="1" l="1"/>
  <c r="B21" i="1" s="1"/>
  <c r="C21" i="1" s="1"/>
  <c r="D21" i="1" s="1"/>
  <c r="E21" i="1" s="1"/>
  <c r="F21" i="1" s="1"/>
  <c r="G21" i="1" s="1"/>
  <c r="A22" i="1" s="1"/>
  <c r="B22" i="1" s="1"/>
  <c r="C22" i="1" s="1"/>
  <c r="D22" i="1" s="1"/>
  <c r="E22" i="1" s="1"/>
  <c r="F22" i="1" s="1"/>
  <c r="G22" i="1" s="1"/>
  <c r="A13" i="1"/>
  <c r="B13" i="1" s="1"/>
  <c r="C13" i="1" s="1"/>
  <c r="D13" i="1" s="1"/>
  <c r="E13" i="1" s="1"/>
  <c r="F13" i="1" s="1"/>
  <c r="G13" i="1" s="1"/>
  <c r="A14" i="1" s="1"/>
  <c r="B14" i="1" s="1"/>
  <c r="C14" i="1" s="1"/>
  <c r="D14" i="1" s="1"/>
  <c r="E14" i="1" s="1"/>
  <c r="F14" i="1" s="1"/>
  <c r="G14" i="1" s="1"/>
  <c r="F2" i="2" l="1"/>
  <c r="F5" i="2"/>
  <c r="F1" i="2" a="1"/>
  <c r="F1" i="2" s="1"/>
  <c r="F4" i="2"/>
  <c r="F3" i="2"/>
  <c r="A23" i="1"/>
  <c r="B23" i="1" s="1"/>
  <c r="C23" i="1" s="1"/>
  <c r="D23" i="1" s="1"/>
  <c r="E23" i="1" s="1"/>
  <c r="F23" i="1" s="1"/>
  <c r="G23" i="1" s="1"/>
  <c r="A24" i="1" s="1"/>
  <c r="B24" i="1" s="1"/>
  <c r="C24" i="1" s="1"/>
  <c r="D24" i="1" s="1"/>
  <c r="E24" i="1" s="1"/>
  <c r="F24" i="1" s="1"/>
  <c r="G24" i="1" s="1"/>
  <c r="A25" i="1" s="1"/>
  <c r="B25" i="1" s="1"/>
  <c r="C25" i="1" s="1"/>
  <c r="D25" i="1" s="1"/>
  <c r="E25" i="1" s="1"/>
  <c r="F25" i="1" s="1"/>
  <c r="G25" i="1" s="1"/>
  <c r="A26" i="1" s="1"/>
  <c r="B26" i="1" s="1"/>
  <c r="C26" i="1" s="1"/>
  <c r="D26" i="1" s="1"/>
  <c r="E26" i="1" s="1"/>
  <c r="F26" i="1" s="1"/>
  <c r="G26" i="1" s="1"/>
  <c r="F9" i="2" l="1"/>
  <c r="F8" i="2"/>
  <c r="A16" i="1"/>
  <c r="B16" i="1" s="1"/>
  <c r="C16" i="1" s="1"/>
  <c r="D16" i="1" s="1"/>
  <c r="E16" i="1" s="1"/>
  <c r="F16" i="1" s="1"/>
  <c r="G16" i="1" s="1"/>
  <c r="A17" i="1" l="1"/>
  <c r="B17" i="1" s="1"/>
  <c r="C17" i="1" s="1"/>
  <c r="D17" i="1" s="1"/>
  <c r="E17" i="1" s="1"/>
  <c r="F17" i="1" s="1"/>
  <c r="G17" i="1" s="1"/>
  <c r="A18" i="1" l="1"/>
  <c r="B18" i="1" s="1"/>
  <c r="C18" i="1" s="1"/>
  <c r="D18" i="1" s="1"/>
  <c r="E18" i="1" s="1"/>
  <c r="F18" i="1" s="1"/>
  <c r="G1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Pragati</author>
  </authors>
  <commentList>
    <comment ref="A1" authorId="0" shapeId="0" xr:uid="{FF065CD1-6F97-4E07-9303-22A6A02FB007}">
      <text>
        <r>
          <rPr>
            <sz val="9"/>
            <color indexed="81"/>
            <rFont val="Tahoma"/>
            <family val="2"/>
          </rPr>
          <t xml:space="preserve">Enter Serial Number in this column under this heading
</t>
        </r>
      </text>
    </comment>
    <comment ref="B1" authorId="0" shapeId="0" xr:uid="{B8D7E275-8074-4AA0-9D70-17821445C92E}">
      <text>
        <r>
          <rPr>
            <sz val="9"/>
            <color indexed="81"/>
            <rFont val="Tahoma"/>
            <family val="2"/>
          </rPr>
          <t xml:space="preserve">Enter the Due Date of the task
</t>
        </r>
      </text>
    </comment>
    <comment ref="C1" authorId="0" shapeId="0" xr:uid="{E72CFFD5-7DE1-45F3-95C7-520C246E2587}">
      <text>
        <r>
          <rPr>
            <sz val="9"/>
            <color indexed="81"/>
            <rFont val="Arial"/>
            <family val="2"/>
          </rPr>
          <t>Enter Task in this column under this heading. Use heading filters to find specific entry</t>
        </r>
      </text>
    </comment>
    <comment ref="D1" authorId="0" shapeId="0" xr:uid="{730C78E7-7CAD-4252-BCAB-F27FEB6ABD74}">
      <text>
        <r>
          <rPr>
            <sz val="9"/>
            <color indexed="81"/>
            <rFont val="Arial"/>
            <family val="2"/>
          </rPr>
          <t>Select Priority in this column under this heading. Press ALT + DOWN ARROW to open the drop-down list, then ENTER to make selection</t>
        </r>
      </text>
    </comment>
    <comment ref="E1" authorId="0" shapeId="0" xr:uid="{4FDBB08F-5D44-4108-B73E-65C90C1F54DB}">
      <text>
        <r>
          <rPr>
            <sz val="9"/>
            <color indexed="81"/>
            <rFont val="Tahoma"/>
            <family val="2"/>
          </rPr>
          <t xml:space="preserve">Select Status in this column under this heading. Press ALT + DOWN ARROW to open the drop-down list, then ENTER to make selection
</t>
        </r>
      </text>
    </comment>
    <comment ref="F1" authorId="0" shapeId="0" xr:uid="{B370B1AB-8EAB-41BF-A15E-64D732C039B7}">
      <text>
        <r>
          <rPr>
            <sz val="9"/>
            <color indexed="81"/>
            <rFont val="Tahoma"/>
            <family val="2"/>
          </rPr>
          <t xml:space="preserve">Enter the Deferred Date if you are selecting status as 'Deferred'
</t>
        </r>
      </text>
    </comment>
    <comment ref="G1" authorId="0" shapeId="0" xr:uid="{2A798DD4-1873-459F-B5A7-7F1992D2A6F0}">
      <text>
        <r>
          <rPr>
            <sz val="9"/>
            <color indexed="81"/>
            <rFont val="Tahoma"/>
            <family val="2"/>
          </rPr>
          <t xml:space="preserve">Enter Notes in this column under this heading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Pragati</author>
  </authors>
  <commentList>
    <comment ref="A1" authorId="0" shapeId="0" xr:uid="{6070BA5B-AB42-4133-A281-066E7EA5D1C0}">
      <text>
        <r>
          <rPr>
            <sz val="9"/>
            <color indexed="81"/>
            <rFont val="Tahoma"/>
            <family val="2"/>
          </rPr>
          <t xml:space="preserve">For month dropdown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<sst xmlns="http://schemas.openxmlformats.org/spreadsheetml/2006/main" count="217" uniqueCount="43">
  <si>
    <t>Month</t>
  </si>
  <si>
    <t>Total Task</t>
  </si>
  <si>
    <t>Not Started</t>
  </si>
  <si>
    <t>In Progress</t>
  </si>
  <si>
    <t>Deferred</t>
  </si>
  <si>
    <t>Completed</t>
  </si>
  <si>
    <t>Total</t>
  </si>
  <si>
    <t>S.No.</t>
  </si>
  <si>
    <t>Due Date</t>
  </si>
  <si>
    <t>Task Name</t>
  </si>
  <si>
    <t>Priority</t>
  </si>
  <si>
    <t>Status</t>
  </si>
  <si>
    <t>Deferred Date</t>
  </si>
  <si>
    <t>Remarks</t>
  </si>
  <si>
    <t>Key ( For internal use only)</t>
  </si>
  <si>
    <t>Start</t>
  </si>
  <si>
    <t>S</t>
  </si>
  <si>
    <t>M</t>
  </si>
  <si>
    <t>T</t>
  </si>
  <si>
    <t>W</t>
  </si>
  <si>
    <t>F</t>
  </si>
  <si>
    <t>Activities Date :</t>
  </si>
  <si>
    <t>High</t>
  </si>
  <si>
    <t>Completed On - 5-Aug-2024 19:13:21</t>
  </si>
  <si>
    <t>Low</t>
  </si>
  <si>
    <t>Normal</t>
  </si>
  <si>
    <t>Deferred -</t>
  </si>
  <si>
    <t>Deferred - Completed on - 7-Aug-2024 19:18:23</t>
  </si>
  <si>
    <t xml:space="preserve">Deferred - Deferred - </t>
  </si>
  <si>
    <t>Completed On - 5-Aug-2024 19:40:03</t>
  </si>
  <si>
    <t>Completion %</t>
  </si>
  <si>
    <t>Collecting Data</t>
  </si>
  <si>
    <t>Cleaning Data</t>
  </si>
  <si>
    <t>Maintaining Databases</t>
  </si>
  <si>
    <t>Designing databases</t>
  </si>
  <si>
    <t>Interpreting Data</t>
  </si>
  <si>
    <t>Identifying the problem</t>
  </si>
  <si>
    <t>Creating Dashboards</t>
  </si>
  <si>
    <t>Presenting the findings</t>
  </si>
  <si>
    <t>Attend team meeting</t>
  </si>
  <si>
    <t>Send report to Lauren</t>
  </si>
  <si>
    <t>Approve leave</t>
  </si>
  <si>
    <t>Deferred - Working on this - Completed On 7-Aug-2024 19:44:03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</si>
</sst>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m\'yy"/>
    <numFmt numFmtId="165" formatCode="d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9"/>
      <color indexed="81"/>
      <name val="Tahoma"/>
      <family val="2"/>
    </font>
    <font>
      <sz val="9"/>
      <color indexed="81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alibri Light"/>
      <family val="2"/>
      <scheme val="maj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77E4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DFD6"/>
        <bgColor indexed="64"/>
      </patternFill>
    </fill>
    <fill>
      <patternFill patternType="solid">
        <fgColor rgb="FF48CAE4"/>
        <bgColor indexed="64"/>
      </patternFill>
    </fill>
    <fill>
      <patternFill patternType="solid">
        <fgColor rgb="FF06D6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3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7" fontId="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8" fontId="0" fillId="0" borderId="0" xfId="0" applyNumberFormat="1"/>
    <xf numFmtId="15" fontId="5" fillId="7" borderId="0" xfId="0" applyNumberFormat="1" applyFont="1" applyFill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top"/>
    </xf>
    <xf numFmtId="9" fontId="0" fillId="0" borderId="2" xfId="1" applyFont="1" applyBorder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1" fillId="0" borderId="0" xfId="0" applyFont="1" applyProtection="1">
      <protection locked="0"/>
    </xf>
    <xf numFmtId="0" fontId="0" fillId="4" borderId="1" xfId="0" applyFill="1" applyBorder="1" applyProtection="1">
      <protection locked="0"/>
    </xf>
    <xf numFmtId="14" fontId="0" fillId="0" borderId="1" xfId="0" applyNumberFormat="1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8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top" inden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165" fontId="0" fillId="9" borderId="0" xfId="0" applyNumberFormat="1" applyFill="1" applyAlignment="1">
      <alignment horizontal="center" vertical="center"/>
    </xf>
    <xf numFmtId="0" fontId="13" fillId="0" borderId="0" xfId="0" applyFont="1" applyProtection="1">
      <protection locked="0"/>
    </xf>
    <xf numFmtId="164" fontId="6" fillId="3" borderId="3" xfId="0" applyNumberFormat="1" applyFont="1" applyFill="1" applyBorder="1" applyAlignment="1" applyProtection="1">
      <alignment horizontal="left" vertical="top"/>
      <protection locked="0"/>
    </xf>
    <xf numFmtId="164" fontId="6" fillId="5" borderId="3" xfId="0" applyNumberFormat="1" applyFont="1" applyFill="1" applyBorder="1" applyAlignment="1" applyProtection="1">
      <alignment horizontal="left" vertical="top"/>
      <protection locked="0"/>
    </xf>
    <xf numFmtId="0" fontId="6" fillId="6" borderId="0" xfId="0" applyFont="1" applyFill="1" applyAlignment="1" applyProtection="1">
      <alignment horizontal="left" vertical="top"/>
      <protection locked="0"/>
    </xf>
    <xf numFmtId="165" fontId="0" fillId="0" borderId="0" xfId="0" applyNumberForma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left" vertical="top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color theme="0" tint="-0.14996795556505021"/>
      </font>
    </dxf>
    <dxf>
      <fill>
        <patternFill>
          <bgColor rgb="FF00B0F0"/>
        </patternFill>
      </fill>
    </dxf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E1BAA0"/>
      <color rgb="FFFFBA96"/>
      <color rgb="FFFFF7F5"/>
      <color rgb="FFFBC3B0"/>
      <color rgb="FF00B0F0"/>
      <color rgb="FF00FFFF"/>
      <color rgb="FF33CCFF"/>
      <color rgb="FF023E8A"/>
      <color rgb="FF0077B6"/>
      <color rgb="FF0304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Support!$E$8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516-4ED9-A53D-ECFB4D8920A5}"/>
              </c:ext>
            </c:extLst>
          </c:dPt>
          <c:val>
            <c:numRef>
              <c:f>Support!$F$8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16-4ED9-A53D-ECFB4D8920A5}"/>
            </c:ext>
          </c:extLst>
        </c:ser>
        <c:ser>
          <c:idx val="1"/>
          <c:order val="1"/>
          <c:tx>
            <c:strRef>
              <c:f>Support!$E$9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6.172839506172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16-4ED9-A53D-ECFB4D8920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Lato Black" panose="020F0A02020204030203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Support!$F$9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16-4ED9-A53D-ECFB4D892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1535856"/>
        <c:axId val="801536816"/>
      </c:barChart>
      <c:catAx>
        <c:axId val="8015358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01536816"/>
        <c:crosses val="autoZero"/>
        <c:auto val="1"/>
        <c:lblAlgn val="ctr"/>
        <c:lblOffset val="100"/>
        <c:noMultiLvlLbl val="0"/>
      </c:catAx>
      <c:valAx>
        <c:axId val="801536816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801535856"/>
        <c:crosses val="autoZero"/>
        <c:crossBetween val="between"/>
      </c:valAx>
      <c:spPr>
        <a:solidFill>
          <a:schemeClr val="bg2">
            <a:lumMod val="9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10</xdr:row>
      <xdr:rowOff>0</xdr:rowOff>
    </xdr:from>
    <xdr:to>
      <xdr:col>7</xdr:col>
      <xdr:colOff>45720</xdr:colOff>
      <xdr:row>11</xdr:row>
      <xdr:rowOff>30480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2133600" y="1859280"/>
          <a:ext cx="7620" cy="213360"/>
        </a:xfrm>
        <a:prstGeom prst="straightConnector1">
          <a:avLst/>
        </a:prstGeom>
        <a:ln w="952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8</xdr:row>
          <xdr:rowOff>30480</xdr:rowOff>
        </xdr:from>
        <xdr:to>
          <xdr:col>6</xdr:col>
          <xdr:colOff>91440</xdr:colOff>
          <xdr:row>9</xdr:row>
          <xdr:rowOff>53340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38100</xdr:colOff>
      <xdr:row>1</xdr:row>
      <xdr:rowOff>160020</xdr:rowOff>
    </xdr:from>
    <xdr:to>
      <xdr:col>6</xdr:col>
      <xdr:colOff>299400</xdr:colOff>
      <xdr:row>6</xdr:row>
      <xdr:rowOff>181620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8100" y="346287"/>
          <a:ext cx="2242500" cy="952933"/>
          <a:chOff x="38100" y="381000"/>
          <a:chExt cx="2217420" cy="902547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38100" y="381000"/>
            <a:ext cx="2217420" cy="902547"/>
          </a:xfrm>
          <a:prstGeom prst="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IN" sz="1800" b="0">
                <a:latin typeface="Arial" panose="020B0604020202020204" pitchFamily="34" charset="0"/>
                <a:cs typeface="Arial" panose="020B0604020202020204" pitchFamily="34" charset="0"/>
              </a:rPr>
              <a:t>Daily Activities Tracker</a:t>
            </a: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1921" y="487681"/>
            <a:ext cx="380999" cy="38099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1029739</xdr:colOff>
      <xdr:row>6</xdr:row>
      <xdr:rowOff>99060</xdr:rowOff>
    </xdr:from>
    <xdr:to>
      <xdr:col>13</xdr:col>
      <xdr:colOff>1585999</xdr:colOff>
      <xdr:row>9</xdr:row>
      <xdr:rowOff>41280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18632</xdr:colOff>
      <xdr:row>1</xdr:row>
      <xdr:rowOff>167640</xdr:rowOff>
    </xdr:from>
    <xdr:to>
      <xdr:col>9</xdr:col>
      <xdr:colOff>968314</xdr:colOff>
      <xdr:row>5</xdr:row>
      <xdr:rowOff>160020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2592499" y="353907"/>
          <a:ext cx="1618548" cy="737446"/>
          <a:chOff x="2308862" y="350520"/>
          <a:chExt cx="1620000" cy="723900"/>
        </a:xfrm>
      </xdr:grpSpPr>
      <xdr:sp macro="" textlink="">
        <xdr:nvSpPr>
          <xdr:cNvPr id="25" name="Rectangle: Top Corners Rounded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2308862" y="350520"/>
            <a:ext cx="1620000" cy="723900"/>
          </a:xfrm>
          <a:prstGeom prst="round2SameRect">
            <a:avLst>
              <a:gd name="adj1" fmla="val 0"/>
              <a:gd name="adj2" fmla="val 10238"/>
            </a:avLst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/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315144" y="350520"/>
            <a:ext cx="1610644" cy="187295"/>
          </a:xfrm>
          <a:prstGeom prst="rect">
            <a:avLst/>
          </a:prstGeom>
          <a:solidFill>
            <a:srgbClr val="023E8A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1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Total Task</a:t>
            </a:r>
          </a:p>
        </xdr:txBody>
      </xdr:sp>
      <xdr:sp macro="" textlink="Support!$F$1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2894632" y="762000"/>
            <a:ext cx="396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59E142D-5018-4569-BB38-70456CAF91D2}" type="TxLink">
              <a:rPr lang="en-US" sz="16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11</a:t>
            </a:fld>
            <a:endParaRPr lang="en-IN" sz="16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9</xdr:col>
      <xdr:colOff>1263319</xdr:colOff>
      <xdr:row>1</xdr:row>
      <xdr:rowOff>167640</xdr:rowOff>
    </xdr:from>
    <xdr:to>
      <xdr:col>10</xdr:col>
      <xdr:colOff>86433</xdr:colOff>
      <xdr:row>5</xdr:row>
      <xdr:rowOff>160276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06052" y="353907"/>
          <a:ext cx="1617114" cy="737702"/>
          <a:chOff x="3981002" y="350520"/>
          <a:chExt cx="1620000" cy="731520"/>
        </a:xfrm>
      </xdr:grpSpPr>
      <xdr:sp macro="" textlink="">
        <xdr:nvSpPr>
          <xdr:cNvPr id="29" name="Rectangle: Top Corners Rounded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3981002" y="358140"/>
            <a:ext cx="1620000" cy="723900"/>
          </a:xfrm>
          <a:prstGeom prst="round2SameRect">
            <a:avLst>
              <a:gd name="adj1" fmla="val 0"/>
              <a:gd name="adj2" fmla="val 10238"/>
            </a:avLst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/>
          </a:p>
        </xdr:txBody>
      </xdr:sp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3981002" y="350520"/>
            <a:ext cx="1620000" cy="190500"/>
          </a:xfrm>
          <a:prstGeom prst="rect">
            <a:avLst/>
          </a:prstGeom>
          <a:solidFill>
            <a:schemeClr val="accent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1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Not</a:t>
            </a:r>
            <a:r>
              <a:rPr lang="en-IN" sz="11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Started</a:t>
            </a:r>
            <a:endParaRPr lang="en-IN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Support!$F$2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4556760" y="746760"/>
            <a:ext cx="396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3399613-4432-4E69-BC0F-EEF485BB0EBE}" type="TxLink">
              <a:rPr lang="en-US" sz="16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</a:t>
            </a:fld>
            <a:endParaRPr lang="en-IN" sz="16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10</xdr:col>
      <xdr:colOff>451197</xdr:colOff>
      <xdr:row>1</xdr:row>
      <xdr:rowOff>181840</xdr:rowOff>
    </xdr:from>
    <xdr:to>
      <xdr:col>12</xdr:col>
      <xdr:colOff>114243</xdr:colOff>
      <xdr:row>5</xdr:row>
      <xdr:rowOff>174476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6487930" y="368107"/>
          <a:ext cx="1627313" cy="737702"/>
          <a:chOff x="6276340" y="365760"/>
          <a:chExt cx="1800000" cy="723900"/>
        </a:xfrm>
      </xdr:grpSpPr>
      <xdr:sp macro="" textlink="">
        <xdr:nvSpPr>
          <xdr:cNvPr id="33" name="Rectangle: Top Corners Rounded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6276340" y="365760"/>
            <a:ext cx="1800000" cy="723900"/>
          </a:xfrm>
          <a:prstGeom prst="round2SameRect">
            <a:avLst>
              <a:gd name="adj1" fmla="val 0"/>
              <a:gd name="adj2" fmla="val 10238"/>
            </a:avLst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/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6276340" y="365760"/>
            <a:ext cx="1800000" cy="1905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1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</a:t>
            </a:r>
            <a:r>
              <a:rPr lang="en-IN" sz="11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Progress</a:t>
            </a:r>
            <a:endParaRPr lang="en-IN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Support!$F$3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6979920" y="762000"/>
            <a:ext cx="440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A2CE4D92-16BE-4782-BF26-43EF306FEA80}" type="TxLink">
              <a:rPr lang="en-US" sz="16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/>
              <a:t>4</a:t>
            </a:fld>
            <a:endParaRPr lang="en-IN" sz="16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12</xdr:col>
      <xdr:colOff>443191</xdr:colOff>
      <xdr:row>1</xdr:row>
      <xdr:rowOff>175260</xdr:rowOff>
    </xdr:from>
    <xdr:to>
      <xdr:col>13</xdr:col>
      <xdr:colOff>772986</xdr:colOff>
      <xdr:row>5</xdr:row>
      <xdr:rowOff>167896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8444191" y="361527"/>
          <a:ext cx="1616728" cy="737702"/>
          <a:chOff x="8267700" y="358140"/>
          <a:chExt cx="1800000" cy="723900"/>
        </a:xfrm>
      </xdr:grpSpPr>
      <xdr:sp macro="" textlink="">
        <xdr:nvSpPr>
          <xdr:cNvPr id="43" name="Rectangle: Top Corners Rounded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8267700" y="358140"/>
            <a:ext cx="1800000" cy="723900"/>
          </a:xfrm>
          <a:prstGeom prst="round2SameRect">
            <a:avLst>
              <a:gd name="adj1" fmla="val 0"/>
              <a:gd name="adj2" fmla="val 10238"/>
            </a:avLst>
          </a:prstGeom>
          <a:solidFill>
            <a:schemeClr val="accent3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>
              <a:solidFill>
                <a:schemeClr val="bg1"/>
              </a:solidFill>
            </a:endParaRPr>
          </a:p>
        </xdr:txBody>
      </xdr:sp>
      <xdr:sp macro="" textlink="">
        <xdr:nvSpPr>
          <xdr:cNvPr id="44" name="TextBox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 txBox="1"/>
        </xdr:nvSpPr>
        <xdr:spPr>
          <a:xfrm>
            <a:off x="8267700" y="358140"/>
            <a:ext cx="1800000" cy="190800"/>
          </a:xfrm>
          <a:prstGeom prst="rect">
            <a:avLst/>
          </a:prstGeom>
          <a:solidFill>
            <a:schemeClr val="accent3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1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Deferred</a:t>
            </a:r>
          </a:p>
        </xdr:txBody>
      </xdr:sp>
      <xdr:sp macro="" textlink="Support!$F$4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953500" y="746760"/>
            <a:ext cx="440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4EB91AC-CC71-42EC-8412-DD3C747ABDEC}" type="TxLink">
              <a:rPr lang="en-US" sz="16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</a:t>
            </a:fld>
            <a:endParaRPr lang="en-IN" sz="16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1123761</xdr:colOff>
      <xdr:row>2</xdr:row>
      <xdr:rowOff>963</xdr:rowOff>
    </xdr:from>
    <xdr:to>
      <xdr:col>13</xdr:col>
      <xdr:colOff>2743761</xdr:colOff>
      <xdr:row>5</xdr:row>
      <xdr:rowOff>175440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10411694" y="373496"/>
          <a:ext cx="1620000" cy="733277"/>
          <a:chOff x="9877950" y="366723"/>
          <a:chExt cx="1622647" cy="723600"/>
        </a:xfrm>
      </xdr:grpSpPr>
      <xdr:sp macro="" textlink="">
        <xdr:nvSpPr>
          <xdr:cNvPr id="47" name="Rectangle: Top Corners Rounded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9877950" y="366723"/>
            <a:ext cx="1620000" cy="723600"/>
          </a:xfrm>
          <a:prstGeom prst="round2SameRect">
            <a:avLst>
              <a:gd name="adj1" fmla="val 0"/>
              <a:gd name="adj2" fmla="val 10238"/>
            </a:avLst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>
              <a:solidFill>
                <a:schemeClr val="bg1"/>
              </a:solidFill>
            </a:endParaRP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 txBox="1"/>
        </xdr:nvSpPr>
        <xdr:spPr>
          <a:xfrm>
            <a:off x="9880597" y="372800"/>
            <a:ext cx="1620000" cy="19080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1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Completed</a:t>
            </a:r>
          </a:p>
        </xdr:txBody>
      </xdr:sp>
      <xdr:sp macro="" textlink="Support!$F$5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0568940" y="762000"/>
            <a:ext cx="396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23983A-D0B8-41DD-9D8A-A53F81D73B80}" type="TxLink">
              <a:rPr lang="en-US" sz="16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</a:t>
            </a:fld>
            <a:endParaRPr lang="en-IN" sz="16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1662547</xdr:colOff>
      <xdr:row>6</xdr:row>
      <xdr:rowOff>114300</xdr:rowOff>
    </xdr:from>
    <xdr:to>
      <xdr:col>13</xdr:col>
      <xdr:colOff>2710297</xdr:colOff>
      <xdr:row>8</xdr:row>
      <xdr:rowOff>144780</xdr:rowOff>
    </xdr:to>
    <xdr:sp macro="[0]!UpdateMaster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0474437-4213-B448-0321-2CEECB866649}"/>
            </a:ext>
          </a:extLst>
        </xdr:cNvPr>
        <xdr:cNvSpPr/>
      </xdr:nvSpPr>
      <xdr:spPr>
        <a:xfrm>
          <a:off x="10936433" y="1205345"/>
          <a:ext cx="1047750" cy="333549"/>
        </a:xfrm>
        <a:prstGeom prst="roundRect">
          <a:avLst>
            <a:gd name="adj" fmla="val 34904"/>
          </a:avLst>
        </a:prstGeom>
        <a:solidFill>
          <a:srgbClr val="00FFFF"/>
        </a:solidFill>
        <a:ln w="1905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chemeClr val="tx1"/>
              </a:solidFill>
              <a:latin typeface="+mn-lt"/>
            </a:rPr>
            <a:t>Update</a:t>
          </a:r>
        </a:p>
      </xdr:txBody>
    </xdr:sp>
    <xdr:clientData/>
  </xdr:twoCellAnchor>
  <xdr:twoCellAnchor>
    <xdr:from>
      <xdr:col>14</xdr:col>
      <xdr:colOff>76200</xdr:colOff>
      <xdr:row>3</xdr:row>
      <xdr:rowOff>164521</xdr:rowOff>
    </xdr:from>
    <xdr:to>
      <xdr:col>19</xdr:col>
      <xdr:colOff>259080</xdr:colOff>
      <xdr:row>31</xdr:row>
      <xdr:rowOff>17317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67474B4-FFEE-5931-BF16-7277ECE8EFF1}"/>
            </a:ext>
          </a:extLst>
        </xdr:cNvPr>
        <xdr:cNvSpPr txBox="1"/>
      </xdr:nvSpPr>
      <xdr:spPr>
        <a:xfrm>
          <a:off x="11774632" y="710044"/>
          <a:ext cx="3213562" cy="4797137"/>
        </a:xfrm>
        <a:prstGeom prst="rect">
          <a:avLst/>
        </a:prstGeom>
        <a:solidFill>
          <a:schemeClr val="lt1"/>
        </a:solidFill>
        <a:ln w="12700" cmpd="sng">
          <a:solidFill>
            <a:schemeClr val="lt1">
              <a:shade val="50000"/>
            </a:schemeClr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/>
            <a:t>Enter your notes here...</a:t>
          </a:r>
        </a:p>
        <a:p>
          <a:endParaRPr lang="en-IN" sz="1400"/>
        </a:p>
        <a:p>
          <a:r>
            <a:rPr lang="en-IN" sz="1400"/>
            <a:t>1. Finish Presentation</a:t>
          </a:r>
        </a:p>
      </xdr:txBody>
    </xdr:sp>
    <xdr:clientData/>
  </xdr:twoCellAnchor>
  <xdr:oneCellAnchor>
    <xdr:from>
      <xdr:col>14</xdr:col>
      <xdr:colOff>86593</xdr:colOff>
      <xdr:row>1</xdr:row>
      <xdr:rowOff>167811</xdr:rowOff>
    </xdr:from>
    <xdr:ext cx="3195202" cy="2988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279622D-F8D5-FFE5-946D-CAFC8EB233B8}"/>
            </a:ext>
          </a:extLst>
        </xdr:cNvPr>
        <xdr:cNvSpPr txBox="1"/>
      </xdr:nvSpPr>
      <xdr:spPr>
        <a:xfrm rot="10800000" flipV="1">
          <a:off x="11785025" y="349652"/>
          <a:ext cx="3195202" cy="298800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lvl="0" algn="l"/>
          <a:r>
            <a:rPr lang="en-IN" sz="14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Notes: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6</xdr:row>
          <xdr:rowOff>45720</xdr:rowOff>
        </xdr:from>
        <xdr:to>
          <xdr:col>9</xdr:col>
          <xdr:colOff>182880</xdr:colOff>
          <xdr:row>7</xdr:row>
          <xdr:rowOff>76200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69274</xdr:colOff>
      <xdr:row>11</xdr:row>
      <xdr:rowOff>129888</xdr:rowOff>
    </xdr:from>
    <xdr:to>
      <xdr:col>3</xdr:col>
      <xdr:colOff>288138</xdr:colOff>
      <xdr:row>16</xdr:row>
      <xdr:rowOff>174683</xdr:rowOff>
    </xdr:to>
    <xdr:sp macro="" textlink="">
      <xdr:nvSpPr>
        <xdr:cNvPr id="9" name="Speech Bubble: Rectangle 8" hidden="1">
          <a:extLst>
            <a:ext uri="{FF2B5EF4-FFF2-40B4-BE49-F238E27FC236}">
              <a16:creationId xmlns:a16="http://schemas.microsoft.com/office/drawing/2014/main" id="{8A3804EA-9801-BF93-2972-0738BC0D4DEB}"/>
            </a:ext>
          </a:extLst>
        </xdr:cNvPr>
        <xdr:cNvSpPr/>
      </xdr:nvSpPr>
      <xdr:spPr>
        <a:xfrm>
          <a:off x="69274" y="1982933"/>
          <a:ext cx="1206000" cy="954000"/>
        </a:xfrm>
        <a:prstGeom prst="wedgeRectCallout">
          <a:avLst>
            <a:gd name="adj1" fmla="val -42483"/>
            <a:gd name="adj2" fmla="val -88621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tx1"/>
              </a:solidFill>
            </a:rPr>
            <a:t>Check this</a:t>
          </a:r>
          <a:r>
            <a:rPr lang="en-IN" sz="1100" baseline="0">
              <a:solidFill>
                <a:schemeClr val="tx1"/>
              </a:solidFill>
            </a:rPr>
            <a:t> if you want to change the activities date on click on dates in the calendar.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25978</xdr:colOff>
      <xdr:row>12</xdr:row>
      <xdr:rowOff>173183</xdr:rowOff>
    </xdr:from>
    <xdr:to>
      <xdr:col>7</xdr:col>
      <xdr:colOff>242456</xdr:colOff>
      <xdr:row>17</xdr:row>
      <xdr:rowOff>60613</xdr:rowOff>
    </xdr:to>
    <xdr:sp macro="" textlink="">
      <xdr:nvSpPr>
        <xdr:cNvPr id="10" name="Speech Bubble: Rectangle 9" hidden="1">
          <a:extLst>
            <a:ext uri="{FF2B5EF4-FFF2-40B4-BE49-F238E27FC236}">
              <a16:creationId xmlns:a16="http://schemas.microsoft.com/office/drawing/2014/main" id="{1270EC81-10DF-45B6-B29D-63CABDBF6E18}"/>
            </a:ext>
          </a:extLst>
        </xdr:cNvPr>
        <xdr:cNvSpPr/>
      </xdr:nvSpPr>
      <xdr:spPr>
        <a:xfrm>
          <a:off x="1342160" y="2208069"/>
          <a:ext cx="1203614" cy="796635"/>
        </a:xfrm>
        <a:prstGeom prst="wedgeRectCallout">
          <a:avLst>
            <a:gd name="adj1" fmla="val -39921"/>
            <a:gd name="adj2" fmla="val -103433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tx1"/>
              </a:solidFill>
            </a:rPr>
            <a:t>Select</a:t>
          </a:r>
          <a:r>
            <a:rPr lang="en-IN" sz="1100" baseline="0">
              <a:solidFill>
                <a:schemeClr val="tx1"/>
              </a:solidFill>
            </a:rPr>
            <a:t> Month from the drop-down to change the calendar.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216476</xdr:colOff>
      <xdr:row>12</xdr:row>
      <xdr:rowOff>164522</xdr:rowOff>
    </xdr:from>
    <xdr:to>
      <xdr:col>9</xdr:col>
      <xdr:colOff>1896340</xdr:colOff>
      <xdr:row>14</xdr:row>
      <xdr:rowOff>121227</xdr:rowOff>
    </xdr:to>
    <xdr:sp macro="" textlink="">
      <xdr:nvSpPr>
        <xdr:cNvPr id="11" name="Speech Bubble: Rectangle 10" hidden="1">
          <a:extLst>
            <a:ext uri="{FF2B5EF4-FFF2-40B4-BE49-F238E27FC236}">
              <a16:creationId xmlns:a16="http://schemas.microsoft.com/office/drawing/2014/main" id="{B185DD2B-3880-438D-A00C-084437FDA5E8}"/>
            </a:ext>
          </a:extLst>
        </xdr:cNvPr>
        <xdr:cNvSpPr/>
      </xdr:nvSpPr>
      <xdr:spPr>
        <a:xfrm>
          <a:off x="3446317" y="2199408"/>
          <a:ext cx="1679864" cy="320387"/>
        </a:xfrm>
        <a:prstGeom prst="wedgeRectCallout">
          <a:avLst>
            <a:gd name="adj1" fmla="val 53893"/>
            <a:gd name="adj2" fmla="val -379109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tx1"/>
              </a:solidFill>
            </a:rPr>
            <a:t>Task</a:t>
          </a:r>
          <a:r>
            <a:rPr lang="en-IN" sz="1100" baseline="0">
              <a:solidFill>
                <a:schemeClr val="tx1"/>
              </a:solidFill>
            </a:rPr>
            <a:t> List Summary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2485160</xdr:colOff>
      <xdr:row>13</xdr:row>
      <xdr:rowOff>95252</xdr:rowOff>
    </xdr:from>
    <xdr:to>
      <xdr:col>11</xdr:col>
      <xdr:colOff>493570</xdr:colOff>
      <xdr:row>16</xdr:row>
      <xdr:rowOff>2</xdr:rowOff>
    </xdr:to>
    <xdr:sp macro="" textlink="">
      <xdr:nvSpPr>
        <xdr:cNvPr id="14" name="Speech Bubble: Rectangle 13" hidden="1">
          <a:extLst>
            <a:ext uri="{FF2B5EF4-FFF2-40B4-BE49-F238E27FC236}">
              <a16:creationId xmlns:a16="http://schemas.microsoft.com/office/drawing/2014/main" id="{1012B29B-6535-4F2F-84F7-140B457971FE}"/>
            </a:ext>
          </a:extLst>
        </xdr:cNvPr>
        <xdr:cNvSpPr/>
      </xdr:nvSpPr>
      <xdr:spPr>
        <a:xfrm>
          <a:off x="5715001" y="2311979"/>
          <a:ext cx="1679864" cy="450273"/>
        </a:xfrm>
        <a:prstGeom prst="wedgeRectCallout">
          <a:avLst>
            <a:gd name="adj1" fmla="val 3893"/>
            <a:gd name="adj2" fmla="val -208166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tx1"/>
              </a:solidFill>
            </a:rPr>
            <a:t>Enter</a:t>
          </a:r>
          <a:r>
            <a:rPr lang="en-IN" sz="1100" baseline="0">
              <a:solidFill>
                <a:schemeClr val="tx1"/>
              </a:solidFill>
            </a:rPr>
            <a:t> the Date here to change the activities date 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17318</xdr:colOff>
      <xdr:row>13</xdr:row>
      <xdr:rowOff>103909</xdr:rowOff>
    </xdr:from>
    <xdr:to>
      <xdr:col>13</xdr:col>
      <xdr:colOff>406978</xdr:colOff>
      <xdr:row>16</xdr:row>
      <xdr:rowOff>138546</xdr:rowOff>
    </xdr:to>
    <xdr:sp macro="" textlink="">
      <xdr:nvSpPr>
        <xdr:cNvPr id="22" name="Speech Bubble: Rectangle 21" hidden="1">
          <a:extLst>
            <a:ext uri="{FF2B5EF4-FFF2-40B4-BE49-F238E27FC236}">
              <a16:creationId xmlns:a16="http://schemas.microsoft.com/office/drawing/2014/main" id="{ADEC4279-484E-45D7-8082-581007A268A2}"/>
            </a:ext>
          </a:extLst>
        </xdr:cNvPr>
        <xdr:cNvSpPr/>
      </xdr:nvSpPr>
      <xdr:spPr>
        <a:xfrm>
          <a:off x="8001000" y="2320636"/>
          <a:ext cx="1679864" cy="580160"/>
        </a:xfrm>
        <a:prstGeom prst="wedgeRectCallout">
          <a:avLst>
            <a:gd name="adj1" fmla="val -24458"/>
            <a:gd name="adj2" fmla="val -185089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chemeClr val="tx1"/>
              </a:solidFill>
            </a:rPr>
            <a:t>Task Completion % to show the progress 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1160319</xdr:colOff>
      <xdr:row>13</xdr:row>
      <xdr:rowOff>86590</xdr:rowOff>
    </xdr:from>
    <xdr:to>
      <xdr:col>14</xdr:col>
      <xdr:colOff>43296</xdr:colOff>
      <xdr:row>17</xdr:row>
      <xdr:rowOff>25976</xdr:rowOff>
    </xdr:to>
    <xdr:sp macro="" textlink="">
      <xdr:nvSpPr>
        <xdr:cNvPr id="23" name="Speech Bubble: Rectangle 22" hidden="1">
          <a:extLst>
            <a:ext uri="{FF2B5EF4-FFF2-40B4-BE49-F238E27FC236}">
              <a16:creationId xmlns:a16="http://schemas.microsoft.com/office/drawing/2014/main" id="{84ECC08B-789B-42C8-9631-CC24AF2CEE34}"/>
            </a:ext>
          </a:extLst>
        </xdr:cNvPr>
        <xdr:cNvSpPr/>
      </xdr:nvSpPr>
      <xdr:spPr>
        <a:xfrm>
          <a:off x="10434205" y="2303317"/>
          <a:ext cx="1679864" cy="666750"/>
        </a:xfrm>
        <a:prstGeom prst="wedgeRectCallout">
          <a:avLst>
            <a:gd name="adj1" fmla="val 5954"/>
            <a:gd name="adj2" fmla="val -163012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chemeClr val="tx1"/>
              </a:solidFill>
            </a:rPr>
            <a:t>Click here to update the Master List with the changes you made here.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909205</xdr:colOff>
      <xdr:row>24</xdr:row>
      <xdr:rowOff>17318</xdr:rowOff>
    </xdr:from>
    <xdr:to>
      <xdr:col>13</xdr:col>
      <xdr:colOff>2589069</xdr:colOff>
      <xdr:row>27</xdr:row>
      <xdr:rowOff>138545</xdr:rowOff>
    </xdr:to>
    <xdr:sp macro="" textlink="">
      <xdr:nvSpPr>
        <xdr:cNvPr id="24" name="Speech Bubble: Rectangle 23" hidden="1">
          <a:extLst>
            <a:ext uri="{FF2B5EF4-FFF2-40B4-BE49-F238E27FC236}">
              <a16:creationId xmlns:a16="http://schemas.microsoft.com/office/drawing/2014/main" id="{F65CD542-8D29-4803-81CF-27857CFD8144}"/>
            </a:ext>
          </a:extLst>
        </xdr:cNvPr>
        <xdr:cNvSpPr/>
      </xdr:nvSpPr>
      <xdr:spPr>
        <a:xfrm>
          <a:off x="10183091" y="4234295"/>
          <a:ext cx="1679864" cy="666750"/>
        </a:xfrm>
        <a:prstGeom prst="wedgeRectCallout">
          <a:avLst>
            <a:gd name="adj1" fmla="val 83274"/>
            <a:gd name="adj2" fmla="val -150025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chemeClr val="tx1"/>
              </a:solidFill>
            </a:rPr>
            <a:t>You can write notes or important points here for future reference.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510886</xdr:colOff>
      <xdr:row>18</xdr:row>
      <xdr:rowOff>121228</xdr:rowOff>
    </xdr:from>
    <xdr:to>
      <xdr:col>12</xdr:col>
      <xdr:colOff>233795</xdr:colOff>
      <xdr:row>22</xdr:row>
      <xdr:rowOff>60615</xdr:rowOff>
    </xdr:to>
    <xdr:sp macro="" textlink="">
      <xdr:nvSpPr>
        <xdr:cNvPr id="27" name="Speech Bubble: Rectangle 26" hidden="1">
          <a:extLst>
            <a:ext uri="{FF2B5EF4-FFF2-40B4-BE49-F238E27FC236}">
              <a16:creationId xmlns:a16="http://schemas.microsoft.com/office/drawing/2014/main" id="{8A19F3B2-EF03-499C-998E-697AE59AD8CD}"/>
            </a:ext>
          </a:extLst>
        </xdr:cNvPr>
        <xdr:cNvSpPr/>
      </xdr:nvSpPr>
      <xdr:spPr>
        <a:xfrm>
          <a:off x="6537613" y="3247160"/>
          <a:ext cx="1679864" cy="666750"/>
        </a:xfrm>
        <a:prstGeom prst="wedgeRectCallout">
          <a:avLst>
            <a:gd name="adj1" fmla="val 20387"/>
            <a:gd name="adj2" fmla="val -199376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chemeClr val="tx1"/>
              </a:solidFill>
            </a:rPr>
            <a:t>Activities list based on date selection in calendar or entered in.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77931</xdr:colOff>
      <xdr:row>22</xdr:row>
      <xdr:rowOff>147205</xdr:rowOff>
    </xdr:from>
    <xdr:to>
      <xdr:col>4</xdr:col>
      <xdr:colOff>129886</xdr:colOff>
      <xdr:row>26</xdr:row>
      <xdr:rowOff>86591</xdr:rowOff>
    </xdr:to>
    <xdr:sp macro="" textlink="">
      <xdr:nvSpPr>
        <xdr:cNvPr id="28" name="Speech Bubble: Rectangle 27" hidden="1">
          <a:extLst>
            <a:ext uri="{FF2B5EF4-FFF2-40B4-BE49-F238E27FC236}">
              <a16:creationId xmlns:a16="http://schemas.microsoft.com/office/drawing/2014/main" id="{631F6D91-45F2-464A-9992-EFF74900D4C7}"/>
            </a:ext>
          </a:extLst>
        </xdr:cNvPr>
        <xdr:cNvSpPr/>
      </xdr:nvSpPr>
      <xdr:spPr>
        <a:xfrm>
          <a:off x="77931" y="4000500"/>
          <a:ext cx="1368137" cy="666750"/>
        </a:xfrm>
        <a:prstGeom prst="wedgeRectCallout">
          <a:avLst>
            <a:gd name="adj1" fmla="val 46109"/>
            <a:gd name="adj2" fmla="val -108466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chemeClr val="tx1"/>
              </a:solidFill>
            </a:rPr>
            <a:t>Click on any of the dates to change the activities date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214798</xdr:colOff>
      <xdr:row>0</xdr:row>
      <xdr:rowOff>30480</xdr:rowOff>
    </xdr:from>
    <xdr:to>
      <xdr:col>9</xdr:col>
      <xdr:colOff>0</xdr:colOff>
      <xdr:row>5</xdr:row>
      <xdr:rowOff>121920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3EBF1764-10BF-C018-0B8E-3B8EAF438C0A}"/>
            </a:ext>
          </a:extLst>
        </xdr:cNvPr>
        <xdr:cNvSpPr/>
      </xdr:nvSpPr>
      <xdr:spPr>
        <a:xfrm>
          <a:off x="4520098" y="30480"/>
          <a:ext cx="1614002" cy="1043940"/>
        </a:xfrm>
        <a:prstGeom prst="wedgeRectCallout">
          <a:avLst>
            <a:gd name="adj1" fmla="val -59105"/>
            <a:gd name="adj2" fmla="val 6821"/>
          </a:avLst>
        </a:prstGeom>
        <a:solidFill>
          <a:schemeClr val="bg1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>
              <a:solidFill>
                <a:schemeClr val="tx1"/>
              </a:solidFill>
              <a:latin typeface="+mj-lt"/>
            </a:rPr>
            <a:t>Don't make any changes</a:t>
          </a:r>
          <a:r>
            <a:rPr lang="en-IN" sz="1200" baseline="0">
              <a:solidFill>
                <a:schemeClr val="tx1"/>
              </a:solidFill>
              <a:latin typeface="+mj-lt"/>
            </a:rPr>
            <a:t> </a:t>
          </a:r>
          <a:r>
            <a:rPr lang="en-IN" sz="1200">
              <a:solidFill>
                <a:schemeClr val="tx1"/>
              </a:solidFill>
              <a:latin typeface="+mj-lt"/>
            </a:rPr>
            <a:t>as we are using these to show the</a:t>
          </a:r>
          <a:r>
            <a:rPr lang="en-IN" sz="1200" baseline="0">
              <a:solidFill>
                <a:schemeClr val="tx1"/>
              </a:solidFill>
              <a:latin typeface="+mj-lt"/>
            </a:rPr>
            <a:t> summary data in Cards To-Do List Sheet</a:t>
          </a:r>
          <a:endParaRPr lang="en-IN" sz="1200">
            <a:solidFill>
              <a:schemeClr val="tx1"/>
            </a:solidFill>
            <a:latin typeface="+mj-lt"/>
          </a:endParaRPr>
        </a:p>
      </xdr:txBody>
    </xdr:sp>
    <xdr:clientData/>
  </xdr:twoCellAnchor>
  <xdr:twoCellAnchor>
    <xdr:from>
      <xdr:col>6</xdr:col>
      <xdr:colOff>198120</xdr:colOff>
      <xdr:row>6</xdr:row>
      <xdr:rowOff>99060</xdr:rowOff>
    </xdr:from>
    <xdr:to>
      <xdr:col>9</xdr:col>
      <xdr:colOff>53340</xdr:colOff>
      <xdr:row>10</xdr:row>
      <xdr:rowOff>38100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4AE1F5FA-E2A3-465A-A5B8-C9A9ADD99AB2}"/>
            </a:ext>
          </a:extLst>
        </xdr:cNvPr>
        <xdr:cNvSpPr/>
      </xdr:nvSpPr>
      <xdr:spPr>
        <a:xfrm>
          <a:off x="4503420" y="1234440"/>
          <a:ext cx="1684020" cy="685800"/>
        </a:xfrm>
        <a:prstGeom prst="wedgeRectCallout">
          <a:avLst>
            <a:gd name="adj1" fmla="val -57295"/>
            <a:gd name="adj2" fmla="val -20957"/>
          </a:avLst>
        </a:prstGeom>
        <a:solidFill>
          <a:schemeClr val="bg1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>
              <a:solidFill>
                <a:schemeClr val="tx1"/>
              </a:solidFill>
              <a:latin typeface="+mj-lt"/>
            </a:rPr>
            <a:t>Don't make any</a:t>
          </a:r>
          <a:r>
            <a:rPr lang="en-IN" sz="1200" baseline="0">
              <a:solidFill>
                <a:schemeClr val="tx1"/>
              </a:solidFill>
              <a:latin typeface="+mj-lt"/>
            </a:rPr>
            <a:t> </a:t>
          </a:r>
          <a:r>
            <a:rPr lang="en-IN" sz="1200">
              <a:solidFill>
                <a:schemeClr val="tx1"/>
              </a:solidFill>
              <a:latin typeface="+mj-lt"/>
            </a:rPr>
            <a:t>changes</a:t>
          </a:r>
          <a:r>
            <a:rPr lang="en-IN" sz="1200" baseline="0">
              <a:solidFill>
                <a:schemeClr val="tx1"/>
              </a:solidFill>
              <a:latin typeface="+mj-lt"/>
            </a:rPr>
            <a:t> </a:t>
          </a:r>
          <a:r>
            <a:rPr lang="en-IN" sz="1200">
              <a:solidFill>
                <a:schemeClr val="tx1"/>
              </a:solidFill>
              <a:latin typeface="+mj-lt"/>
            </a:rPr>
            <a:t>as we are using</a:t>
          </a:r>
          <a:r>
            <a:rPr lang="en-IN" sz="1200" baseline="0">
              <a:solidFill>
                <a:schemeClr val="tx1"/>
              </a:solidFill>
              <a:latin typeface="+mj-lt"/>
            </a:rPr>
            <a:t> </a:t>
          </a:r>
          <a:r>
            <a:rPr lang="en-IN" sz="1200">
              <a:solidFill>
                <a:schemeClr val="tx1"/>
              </a:solidFill>
              <a:latin typeface="+mj-lt"/>
            </a:rPr>
            <a:t>to show</a:t>
          </a:r>
          <a:r>
            <a:rPr lang="en-IN" sz="1200" baseline="0">
              <a:solidFill>
                <a:schemeClr val="tx1"/>
              </a:solidFill>
              <a:latin typeface="+mj-lt"/>
            </a:rPr>
            <a:t> Completion%</a:t>
          </a:r>
          <a:endParaRPr lang="en-IN" sz="1200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2CBFD6-DD49-4CE0-8D2E-A1C04D48EBFB}" name="Table2" displayName="Table2" ref="I11:N34" totalsRowShown="0" headerRowDxfId="16" dataDxfId="15">
  <tableColumns count="6">
    <tableColumn id="1" xr3:uid="{08732F0E-B114-488B-989D-FB738BF64D42}" name="S.No." dataDxfId="14">
      <calculatedColumnFormula array="1">IF(J12="", "", IFERROR(INDEX(_xlfn._xlws.FILTER('Master List'!$A$2:$A$44, ('Master List'!$B$2:$B$44=$K$9)*('Master List'!$C$2:$C$44=J12)), COUNTIF(J$12:J12, J12)), MAX('Master List'!$A$2:$A$44) + ROW(I1)))</calculatedColumnFormula>
    </tableColumn>
    <tableColumn id="2" xr3:uid="{FA358635-9631-4845-AF7D-FB982EFAEC2F}" name="Task Name" dataDxfId="13"/>
    <tableColumn id="3" xr3:uid="{DC1B61D2-729A-4B3F-9DCF-60825629E99F}" name="Priority" dataDxfId="12"/>
    <tableColumn id="4" xr3:uid="{4F487C72-7B03-4FE3-8E49-7D2B4AEDDEBC}" name="Status" dataDxfId="11"/>
    <tableColumn id="5" xr3:uid="{D38AFAC3-524A-46EF-AE50-7FCACD326745}" name="Deferred Date" dataDxfId="10"/>
    <tableColumn id="6" xr3:uid="{A10FFA72-1054-4C82-8B88-31D38292E572}" name="Remarks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FD66E-0B69-482D-B7A2-6D2CA048EF14}" name="MasterTable" displayName="MasterTable" ref="A1:H44" totalsRowShown="0" dataDxfId="8">
  <autoFilter ref="A1:H44" xr:uid="{27CFD66E-0B69-482D-B7A2-6D2CA048EF14}"/>
  <tableColumns count="8">
    <tableColumn id="1" xr3:uid="{AEF6BF10-84F4-480F-8BC4-E5AAE8BE644A}" name="S.No." dataDxfId="7"/>
    <tableColumn id="2" xr3:uid="{4F58B3B6-4BEC-4BCF-B542-27A5AFC3DCD0}" name="Due Date" dataDxfId="6"/>
    <tableColumn id="3" xr3:uid="{109ABBAF-EA07-47A5-BC2C-3F56D1B385AF}" name="Task Name" dataDxfId="5"/>
    <tableColumn id="4" xr3:uid="{42B34A99-C4AE-42DF-9FC6-A402340214EB}" name="Priority" dataDxfId="4"/>
    <tableColumn id="5" xr3:uid="{0161F63B-BC4F-4DFC-8953-A27D4B3A530F}" name="Status" dataDxfId="3"/>
    <tableColumn id="6" xr3:uid="{177E3B79-AECE-40BD-BAAD-A8E1BC91747F}" name="Deferred Date" dataDxfId="2"/>
    <tableColumn id="7" xr3:uid="{4A5A3489-976B-49A9-A2C3-D7D94B093103}" name="Remarks" dataDxfId="1"/>
    <tableColumn id="8" xr3:uid="{C94DDEC9-47F4-481F-BC43-FBD95BD70BC2}" name="Key ( For internal use only)" dataDxfId="0">
      <calculatedColumnFormula>MasterTable[[#This Row],[S.No.]]&amp;"| "&amp;MasterTable[[#This Row],[Due Date]]&amp;"| "&amp;MasterTable[[#This Row],[Task Name]]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3CC60-FEB6-446A-B9E3-BBAA92C48C4B}">
  <sheetPr codeName="Sheet1"/>
  <dimension ref="A1:Z34"/>
  <sheetViews>
    <sheetView showGridLines="0" tabSelected="1" topLeftCell="A2" zoomScale="90" zoomScaleNormal="90" workbookViewId="0">
      <selection activeCell="J23" sqref="J23"/>
    </sheetView>
  </sheetViews>
  <sheetFormatPr defaultRowHeight="14.4" x14ac:dyDescent="0.3"/>
  <cols>
    <col min="1" max="7" width="4.77734375" style="12" customWidth="1"/>
    <col min="8" max="8" width="3.77734375" style="12" customWidth="1"/>
    <col min="9" max="9" width="9.77734375" style="12" customWidth="1"/>
    <col min="10" max="10" width="40.77734375" style="12" customWidth="1"/>
    <col min="11" max="11" width="12.77734375" style="12" customWidth="1"/>
    <col min="12" max="12" width="15.77734375" style="12" customWidth="1"/>
    <col min="13" max="13" width="18.77734375" style="12" customWidth="1"/>
    <col min="14" max="14" width="40.77734375" style="12" customWidth="1"/>
    <col min="15" max="23" width="8.88671875" style="12"/>
    <col min="24" max="26" width="10.33203125" style="12" bestFit="1" customWidth="1"/>
    <col min="27" max="16384" width="8.88671875" style="12"/>
  </cols>
  <sheetData>
    <row r="1" spans="1:26" x14ac:dyDescent="0.3">
      <c r="Y1" s="13"/>
    </row>
    <row r="6" spans="1:26" x14ac:dyDescent="0.3">
      <c r="L6" s="14"/>
    </row>
    <row r="7" spans="1:26" x14ac:dyDescent="0.3">
      <c r="I7" s="26" t="b">
        <v>0</v>
      </c>
    </row>
    <row r="8" spans="1:26" ht="9.6" customHeight="1" x14ac:dyDescent="0.3">
      <c r="X8" s="15" t="s">
        <v>15</v>
      </c>
      <c r="Y8" s="16">
        <f>EOMONTH($A$11,-1)+1</f>
        <v>45505</v>
      </c>
      <c r="Z8" s="16">
        <f>EOMONTH($A$19,-1)+1</f>
        <v>45474</v>
      </c>
    </row>
    <row r="9" spans="1:26" ht="14.4" customHeight="1" x14ac:dyDescent="0.35">
      <c r="I9" s="29" t="s">
        <v>21</v>
      </c>
      <c r="J9" s="29"/>
      <c r="K9" s="7">
        <v>45499</v>
      </c>
      <c r="L9" s="17" t="s">
        <v>30</v>
      </c>
    </row>
    <row r="10" spans="1:26" ht="7.2" customHeight="1" x14ac:dyDescent="0.3">
      <c r="X10" s="13"/>
    </row>
    <row r="11" spans="1:26" x14ac:dyDescent="0.3">
      <c r="A11" s="27">
        <v>45505</v>
      </c>
      <c r="B11" s="27"/>
      <c r="C11" s="27"/>
      <c r="D11" s="27"/>
      <c r="E11" s="27"/>
      <c r="F11" s="27"/>
      <c r="G11" s="27"/>
      <c r="I11" s="18" t="s">
        <v>7</v>
      </c>
      <c r="J11" s="19" t="s">
        <v>9</v>
      </c>
      <c r="K11" s="20" t="s">
        <v>10</v>
      </c>
      <c r="L11" s="18" t="s">
        <v>11</v>
      </c>
      <c r="M11" s="18" t="s">
        <v>12</v>
      </c>
      <c r="N11" s="21" t="s">
        <v>13</v>
      </c>
    </row>
    <row r="12" spans="1:26" x14ac:dyDescent="0.3">
      <c r="A12" s="22" t="s">
        <v>16</v>
      </c>
      <c r="B12" s="22" t="s">
        <v>17</v>
      </c>
      <c r="C12" s="22" t="s">
        <v>18</v>
      </c>
      <c r="D12" s="22" t="s">
        <v>19</v>
      </c>
      <c r="E12" s="22" t="s">
        <v>18</v>
      </c>
      <c r="F12" s="22" t="s">
        <v>20</v>
      </c>
      <c r="G12" s="22" t="s">
        <v>16</v>
      </c>
      <c r="I12" s="18">
        <f>IF(J12&lt;&gt;"", COUNTIFS($J$12:$J12, "&lt;&gt;") - COUNTIF($J$12:$J12, ""), "")</f>
        <v>1</v>
      </c>
      <c r="J12" s="19" t="s">
        <v>33</v>
      </c>
      <c r="K12" s="18" t="s">
        <v>24</v>
      </c>
      <c r="L12" s="18" t="s">
        <v>3</v>
      </c>
      <c r="M12" s="23"/>
      <c r="N12" s="19"/>
    </row>
    <row r="13" spans="1:26" x14ac:dyDescent="0.3">
      <c r="A13" s="30">
        <f>start-CHOOSE(WEEKDAY(start),0,1,2,3,4,5,6)</f>
        <v>45501</v>
      </c>
      <c r="B13" s="30">
        <f>IF(A13&lt;&gt;"",A13,$G12)+1</f>
        <v>45502</v>
      </c>
      <c r="C13" s="30">
        <f t="shared" ref="C13:G13" si="0">IF(B13&lt;&gt;"",B13,$G12)+1</f>
        <v>45503</v>
      </c>
      <c r="D13" s="30">
        <f t="shared" si="0"/>
        <v>45504</v>
      </c>
      <c r="E13" s="30">
        <f t="shared" si="0"/>
        <v>45505</v>
      </c>
      <c r="F13" s="30">
        <f t="shared" si="0"/>
        <v>45506</v>
      </c>
      <c r="G13" s="30">
        <f t="shared" si="0"/>
        <v>45507</v>
      </c>
      <c r="I13" s="18">
        <f>IF(J13&lt;&gt;"", COUNTIFS($J$12:$J13, "&lt;&gt;") - COUNTIF($J$12:$J13, ""), "")</f>
        <v>2</v>
      </c>
      <c r="J13" s="19" t="s">
        <v>35</v>
      </c>
      <c r="K13" s="18" t="s">
        <v>25</v>
      </c>
      <c r="L13" s="18" t="s">
        <v>4</v>
      </c>
      <c r="M13" s="23">
        <v>45506</v>
      </c>
      <c r="N13" s="19"/>
    </row>
    <row r="14" spans="1:26" x14ac:dyDescent="0.3">
      <c r="A14" s="30">
        <f>IF(G13&lt;&gt;"",G13,$G13)+1</f>
        <v>45508</v>
      </c>
      <c r="B14" s="30">
        <f>IF(A14&lt;&gt;"",A14,$G13)+1</f>
        <v>45509</v>
      </c>
      <c r="C14" s="30">
        <f t="shared" ref="C14:G14" si="1">IF(B14&lt;&gt;"",B14,$G13)+1</f>
        <v>45510</v>
      </c>
      <c r="D14" s="30">
        <f t="shared" si="1"/>
        <v>45511</v>
      </c>
      <c r="E14" s="30">
        <f t="shared" si="1"/>
        <v>45512</v>
      </c>
      <c r="F14" s="30">
        <f t="shared" si="1"/>
        <v>45513</v>
      </c>
      <c r="G14" s="30">
        <f t="shared" si="1"/>
        <v>45514</v>
      </c>
      <c r="I14" s="18">
        <f>IF(J14&lt;&gt;"", COUNTIFS($J$12:$J14, "&lt;&gt;") - COUNTIF($J$12:$J14, ""), "")</f>
        <v>3</v>
      </c>
      <c r="J14" s="19" t="s">
        <v>34</v>
      </c>
      <c r="K14" s="18" t="s">
        <v>22</v>
      </c>
      <c r="L14" s="18"/>
      <c r="M14" s="23"/>
      <c r="N14" s="19"/>
    </row>
    <row r="15" spans="1:26" x14ac:dyDescent="0.3">
      <c r="A15" s="30">
        <f t="shared" ref="A15:A18" si="2">IF(G14&lt;&gt;"",G14,$G14)+1</f>
        <v>45515</v>
      </c>
      <c r="B15" s="30">
        <f t="shared" ref="B15:B18" si="3">IF(A15&lt;&gt;"",A15,$G14)+1</f>
        <v>45516</v>
      </c>
      <c r="C15" s="30">
        <f t="shared" ref="C15:F15" si="4">IF(B15&lt;&gt;"",B15,$G14)+1</f>
        <v>45517</v>
      </c>
      <c r="D15" s="30">
        <f t="shared" si="4"/>
        <v>45518</v>
      </c>
      <c r="E15" s="30">
        <f t="shared" si="4"/>
        <v>45519</v>
      </c>
      <c r="F15" s="30">
        <f t="shared" si="4"/>
        <v>45520</v>
      </c>
      <c r="G15" s="30">
        <f>IF(F15&lt;&gt;"",F15,$G14)+1</f>
        <v>45521</v>
      </c>
      <c r="I15" s="18">
        <f>IF(J15&lt;&gt;"", COUNTIFS($J$12:$J15, "&lt;&gt;") - COUNTIF($J$12:$J15, ""), "")</f>
        <v>4</v>
      </c>
      <c r="J15" s="19" t="s">
        <v>38</v>
      </c>
      <c r="K15" s="18" t="s">
        <v>25</v>
      </c>
      <c r="L15" s="18" t="s">
        <v>3</v>
      </c>
      <c r="M15" s="23"/>
      <c r="N15" s="19"/>
    </row>
    <row r="16" spans="1:26" x14ac:dyDescent="0.3">
      <c r="A16" s="30">
        <f t="shared" si="2"/>
        <v>45522</v>
      </c>
      <c r="B16" s="30">
        <f t="shared" si="3"/>
        <v>45523</v>
      </c>
      <c r="C16" s="30">
        <f t="shared" ref="C16:G16" si="5">IF(B16&lt;&gt;"",B16,$G15)+1</f>
        <v>45524</v>
      </c>
      <c r="D16" s="30">
        <f t="shared" si="5"/>
        <v>45525</v>
      </c>
      <c r="E16" s="30">
        <f t="shared" si="5"/>
        <v>45526</v>
      </c>
      <c r="F16" s="30">
        <f t="shared" si="5"/>
        <v>45527</v>
      </c>
      <c r="G16" s="30">
        <f t="shared" si="5"/>
        <v>45528</v>
      </c>
      <c r="I16" s="18">
        <f>IF(J16&lt;&gt;"", COUNTIFS($J$12:$J16, "&lt;&gt;") - COUNTIF($J$12:$J16, ""), "")</f>
        <v>5</v>
      </c>
      <c r="J16" s="19" t="s">
        <v>39</v>
      </c>
      <c r="K16" s="18" t="s">
        <v>24</v>
      </c>
      <c r="L16" s="18" t="s">
        <v>4</v>
      </c>
      <c r="M16" s="23">
        <v>45594</v>
      </c>
      <c r="N16" s="19"/>
    </row>
    <row r="17" spans="1:24" x14ac:dyDescent="0.3">
      <c r="A17" s="30">
        <f t="shared" si="2"/>
        <v>45529</v>
      </c>
      <c r="B17" s="30">
        <f t="shared" si="3"/>
        <v>45530</v>
      </c>
      <c r="C17" s="30">
        <f t="shared" ref="C17:G17" si="6">IF(B17&lt;&gt;"",B17,$G16)+1</f>
        <v>45531</v>
      </c>
      <c r="D17" s="30">
        <f t="shared" si="6"/>
        <v>45532</v>
      </c>
      <c r="E17" s="30">
        <f t="shared" si="6"/>
        <v>45533</v>
      </c>
      <c r="F17" s="30">
        <f t="shared" si="6"/>
        <v>45534</v>
      </c>
      <c r="G17" s="30">
        <f t="shared" si="6"/>
        <v>45535</v>
      </c>
      <c r="I17" s="18">
        <f>IF(J17&lt;&gt;"", COUNTIFS($J$12:$J17, "&lt;&gt;") - COUNTIF($J$12:$J17, ""), "")</f>
        <v>6</v>
      </c>
      <c r="J17" s="19" t="s">
        <v>31</v>
      </c>
      <c r="K17" s="18" t="s">
        <v>22</v>
      </c>
      <c r="L17" s="18" t="s">
        <v>2</v>
      </c>
      <c r="M17" s="23"/>
      <c r="N17" s="19"/>
      <c r="X17" s="24" cm="1">
        <f t="array" ref="X17">IF(J12="", "", IFERROR(INDEX(_xlfn._xlws.FILTER('Master List'!$A$2:$A$44, ('Master List'!$B$2:$B$44=$K$9)*('Master List'!$C$2:$C$44=J12)), COUNTIF(J$12:J12, J12)), MAX('Master List'!$A$2:$A$44) + ROW(I1)))</f>
        <v>3</v>
      </c>
    </row>
    <row r="18" spans="1:24" x14ac:dyDescent="0.3">
      <c r="A18" s="30">
        <f t="shared" si="2"/>
        <v>45536</v>
      </c>
      <c r="B18" s="30">
        <f t="shared" si="3"/>
        <v>45537</v>
      </c>
      <c r="C18" s="30">
        <f t="shared" ref="C18:G18" si="7">IF(B18&lt;&gt;"",B18,$G17)+1</f>
        <v>45538</v>
      </c>
      <c r="D18" s="30">
        <f t="shared" si="7"/>
        <v>45539</v>
      </c>
      <c r="E18" s="30">
        <f t="shared" si="7"/>
        <v>45540</v>
      </c>
      <c r="F18" s="30">
        <f t="shared" si="7"/>
        <v>45541</v>
      </c>
      <c r="G18" s="30">
        <f t="shared" si="7"/>
        <v>45542</v>
      </c>
      <c r="I18" s="18">
        <f>IF(J18&lt;&gt;"", COUNTIFS($J$12:$J18, "&lt;&gt;") - COUNTIF($J$12:$J18, ""), "")</f>
        <v>7</v>
      </c>
      <c r="J18" s="19" t="s">
        <v>32</v>
      </c>
      <c r="K18" s="18" t="s">
        <v>22</v>
      </c>
      <c r="L18" s="23" t="s">
        <v>2</v>
      </c>
      <c r="M18" s="23"/>
      <c r="N18" s="19"/>
    </row>
    <row r="19" spans="1:24" x14ac:dyDescent="0.3">
      <c r="A19" s="28">
        <f>EOMONTH($A$11,-1)</f>
        <v>45504</v>
      </c>
      <c r="B19" s="28"/>
      <c r="C19" s="28"/>
      <c r="D19" s="28"/>
      <c r="E19" s="28"/>
      <c r="F19" s="28"/>
      <c r="G19" s="28"/>
      <c r="I19" s="18">
        <f>IF(J19&lt;&gt;"", COUNTIFS($J$12:$J19, "&lt;&gt;") - COUNTIF($J$12:$J19, ""), "")</f>
        <v>8</v>
      </c>
      <c r="J19" s="19" t="s">
        <v>33</v>
      </c>
      <c r="K19" s="18" t="s">
        <v>24</v>
      </c>
      <c r="L19" s="18" t="s">
        <v>3</v>
      </c>
      <c r="M19" s="23"/>
      <c r="N19" s="19"/>
    </row>
    <row r="20" spans="1:24" x14ac:dyDescent="0.3">
      <c r="A20" s="22" t="s">
        <v>16</v>
      </c>
      <c r="B20" s="22" t="s">
        <v>17</v>
      </c>
      <c r="C20" s="22" t="s">
        <v>18</v>
      </c>
      <c r="D20" s="22" t="s">
        <v>19</v>
      </c>
      <c r="E20" s="22" t="s">
        <v>18</v>
      </c>
      <c r="F20" s="22" t="s">
        <v>20</v>
      </c>
      <c r="G20" s="22" t="s">
        <v>16</v>
      </c>
      <c r="I20" s="18">
        <f>IF(J20&lt;&gt;"", COUNTIFS($J$12:$J20, "&lt;&gt;") - COUNTIF($J$12:$J20, ""), "")</f>
        <v>9</v>
      </c>
      <c r="J20" s="19" t="s">
        <v>40</v>
      </c>
      <c r="K20" s="18" t="s">
        <v>22</v>
      </c>
      <c r="L20" s="18"/>
      <c r="M20" s="23"/>
      <c r="N20" s="19"/>
    </row>
    <row r="21" spans="1:24" x14ac:dyDescent="0.3">
      <c r="A21" s="30">
        <f>previous_start-CHOOSE(WEEKDAY(previous_start),0,1,2,3,4,5,6)</f>
        <v>45473</v>
      </c>
      <c r="B21" s="30">
        <f>IF(A21&lt;&gt;"",A21,$G20)+1</f>
        <v>45474</v>
      </c>
      <c r="C21" s="30">
        <f t="shared" ref="C21:G26" si="8">IF(B21&lt;&gt;"",B21,$G20)+1</f>
        <v>45475</v>
      </c>
      <c r="D21" s="30">
        <f t="shared" si="8"/>
        <v>45476</v>
      </c>
      <c r="E21" s="30">
        <f t="shared" si="8"/>
        <v>45477</v>
      </c>
      <c r="F21" s="30">
        <f t="shared" si="8"/>
        <v>45478</v>
      </c>
      <c r="G21" s="30">
        <f t="shared" si="8"/>
        <v>45479</v>
      </c>
      <c r="I21" s="18">
        <f>IF(J21&lt;&gt;"", COUNTIFS($J$12:$J21, "&lt;&gt;") - COUNTIF($J$12:$J21, ""), "")</f>
        <v>10</v>
      </c>
      <c r="J21" s="19" t="s">
        <v>37</v>
      </c>
      <c r="K21" s="18" t="s">
        <v>22</v>
      </c>
      <c r="L21" s="23" t="s">
        <v>3</v>
      </c>
      <c r="M21" s="23"/>
      <c r="N21" s="19"/>
    </row>
    <row r="22" spans="1:24" x14ac:dyDescent="0.3">
      <c r="A22" s="30">
        <f>IF(G21&lt;&gt;"",G21,$G21)+1</f>
        <v>45480</v>
      </c>
      <c r="B22" s="30">
        <f t="shared" ref="B22:B26" si="9">IF(A22&lt;&gt;"",A22,$G21)+1</f>
        <v>45481</v>
      </c>
      <c r="C22" s="30">
        <f t="shared" si="8"/>
        <v>45482</v>
      </c>
      <c r="D22" s="30">
        <f t="shared" si="8"/>
        <v>45483</v>
      </c>
      <c r="E22" s="30">
        <f t="shared" si="8"/>
        <v>45484</v>
      </c>
      <c r="F22" s="30">
        <f t="shared" si="8"/>
        <v>45485</v>
      </c>
      <c r="G22" s="30">
        <f t="shared" si="8"/>
        <v>45486</v>
      </c>
      <c r="I22" s="18">
        <f>IF(J22&lt;&gt;"", COUNTIFS($J$12:$J22, "&lt;&gt;") - COUNTIF($J$12:$J22, ""), "")</f>
        <v>11</v>
      </c>
      <c r="J22" s="19" t="s">
        <v>34</v>
      </c>
      <c r="K22" s="18" t="s">
        <v>22</v>
      </c>
      <c r="L22" s="18"/>
      <c r="M22" s="23"/>
      <c r="N22" s="19"/>
    </row>
    <row r="23" spans="1:24" x14ac:dyDescent="0.3">
      <c r="A23" s="30">
        <f t="shared" ref="A23:A26" si="10">IF(G22&lt;&gt;"",G22,$G22)+1</f>
        <v>45487</v>
      </c>
      <c r="B23" s="30">
        <f t="shared" si="9"/>
        <v>45488</v>
      </c>
      <c r="C23" s="30">
        <f t="shared" si="8"/>
        <v>45489</v>
      </c>
      <c r="D23" s="30">
        <f t="shared" si="8"/>
        <v>45490</v>
      </c>
      <c r="E23" s="30">
        <f t="shared" si="8"/>
        <v>45491</v>
      </c>
      <c r="F23" s="30">
        <f t="shared" si="8"/>
        <v>45492</v>
      </c>
      <c r="G23" s="30">
        <f t="shared" si="8"/>
        <v>45493</v>
      </c>
      <c r="I23" s="18" t="str">
        <f>IF(J23&lt;&gt;"", COUNTIFS($J$12:$J23, "&lt;&gt;") - COUNTIF($J$12:$J23, ""), "")</f>
        <v/>
      </c>
      <c r="J23" s="19"/>
      <c r="K23" s="18"/>
      <c r="L23" s="18"/>
      <c r="M23" s="23"/>
      <c r="N23" s="19"/>
    </row>
    <row r="24" spans="1:24" x14ac:dyDescent="0.3">
      <c r="A24" s="30">
        <f t="shared" si="10"/>
        <v>45494</v>
      </c>
      <c r="B24" s="30">
        <f t="shared" si="9"/>
        <v>45495</v>
      </c>
      <c r="C24" s="30">
        <f t="shared" si="8"/>
        <v>45496</v>
      </c>
      <c r="D24" s="30">
        <f t="shared" si="8"/>
        <v>45497</v>
      </c>
      <c r="E24" s="30">
        <f t="shared" si="8"/>
        <v>45498</v>
      </c>
      <c r="F24" s="25">
        <f t="shared" si="8"/>
        <v>45499</v>
      </c>
      <c r="G24" s="30">
        <f t="shared" si="8"/>
        <v>45500</v>
      </c>
      <c r="I24" s="18" t="str">
        <f>IF(J24&lt;&gt;"", COUNTIFS($J$12:$J24, "&lt;&gt;") - COUNTIF($J$12:$J24, ""), "")</f>
        <v/>
      </c>
      <c r="J24" s="19"/>
      <c r="K24" s="18"/>
      <c r="L24" s="18"/>
      <c r="M24" s="23"/>
      <c r="N24" s="19"/>
    </row>
    <row r="25" spans="1:24" x14ac:dyDescent="0.3">
      <c r="A25" s="30">
        <f t="shared" si="10"/>
        <v>45501</v>
      </c>
      <c r="B25" s="30">
        <f t="shared" si="9"/>
        <v>45502</v>
      </c>
      <c r="C25" s="30">
        <f t="shared" si="8"/>
        <v>45503</v>
      </c>
      <c r="D25" s="30">
        <f t="shared" si="8"/>
        <v>45504</v>
      </c>
      <c r="E25" s="30">
        <f t="shared" si="8"/>
        <v>45505</v>
      </c>
      <c r="F25" s="30">
        <f t="shared" si="8"/>
        <v>45506</v>
      </c>
      <c r="G25" s="30">
        <f t="shared" si="8"/>
        <v>45507</v>
      </c>
      <c r="I25" s="18" t="str">
        <f>IF(J25&lt;&gt;"", COUNTIFS($J$12:$J25, "&lt;&gt;") - COUNTIF($J$12:$J25, ""), "")</f>
        <v/>
      </c>
      <c r="J25" s="19"/>
      <c r="K25" s="18"/>
      <c r="L25" s="18"/>
      <c r="M25" s="23"/>
      <c r="N25" s="19"/>
    </row>
    <row r="26" spans="1:24" x14ac:dyDescent="0.3">
      <c r="A26" s="30">
        <f t="shared" si="10"/>
        <v>45508</v>
      </c>
      <c r="B26" s="30">
        <f t="shared" si="9"/>
        <v>45509</v>
      </c>
      <c r="C26" s="30">
        <f t="shared" si="8"/>
        <v>45510</v>
      </c>
      <c r="D26" s="30">
        <f t="shared" si="8"/>
        <v>45511</v>
      </c>
      <c r="E26" s="30">
        <f t="shared" si="8"/>
        <v>45512</v>
      </c>
      <c r="F26" s="30">
        <f t="shared" si="8"/>
        <v>45513</v>
      </c>
      <c r="G26" s="30">
        <f t="shared" si="8"/>
        <v>45514</v>
      </c>
      <c r="I26" s="18" t="str">
        <f>IF(J26&lt;&gt;"", COUNTIFS($J$12:$J26, "&lt;&gt;") - COUNTIF($J$12:$J26, ""), "")</f>
        <v/>
      </c>
      <c r="J26" s="19"/>
      <c r="K26" s="18"/>
      <c r="L26" s="18"/>
      <c r="M26" s="23"/>
      <c r="N26" s="19"/>
    </row>
    <row r="27" spans="1:24" x14ac:dyDescent="0.3">
      <c r="I27" s="18" t="str">
        <f>IF(J27&lt;&gt;"", COUNTIFS($J$12:$J27, "&lt;&gt;") - COUNTIF($J$12:$J27, ""), "")</f>
        <v/>
      </c>
      <c r="J27" s="19"/>
      <c r="K27" s="18"/>
      <c r="L27" s="18"/>
      <c r="M27" s="23"/>
      <c r="N27" s="19"/>
    </row>
    <row r="28" spans="1:24" x14ac:dyDescent="0.3">
      <c r="I28" s="18" t="str">
        <f>IF(J28&lt;&gt;"", COUNTIFS($J$12:$J28, "&lt;&gt;") - COUNTIF($J$12:$J28, ""), "")</f>
        <v/>
      </c>
      <c r="J28" s="19"/>
      <c r="K28" s="18"/>
      <c r="L28" s="18"/>
      <c r="M28" s="23"/>
      <c r="N28" s="19"/>
    </row>
    <row r="29" spans="1:24" x14ac:dyDescent="0.3">
      <c r="I29" s="18" t="str">
        <f>IF(J29&lt;&gt;"", COUNTIFS($J$12:$J29, "&lt;&gt;") - COUNTIF($J$12:$J29, ""), "")</f>
        <v/>
      </c>
      <c r="J29" s="19"/>
      <c r="K29" s="18"/>
      <c r="L29" s="18"/>
      <c r="M29" s="23"/>
      <c r="N29" s="19"/>
    </row>
    <row r="30" spans="1:24" x14ac:dyDescent="0.3">
      <c r="I30" s="18" t="str">
        <f>IF(J30&lt;&gt;"", COUNTIFS($J$12:$J30, "&lt;&gt;") - COUNTIF($J$12:$J30, ""), "")</f>
        <v/>
      </c>
      <c r="J30" s="19"/>
      <c r="K30" s="18"/>
      <c r="L30" s="18"/>
      <c r="M30" s="23"/>
      <c r="N30" s="19"/>
    </row>
    <row r="31" spans="1:24" x14ac:dyDescent="0.3">
      <c r="I31" s="18" t="str">
        <f>IF(J31&lt;&gt;"", COUNTIFS($J$12:$J31, "&lt;&gt;") - COUNTIF($J$12:$J31, ""), "")</f>
        <v/>
      </c>
      <c r="J31" s="19"/>
      <c r="K31" s="18"/>
      <c r="L31" s="18"/>
      <c r="M31" s="23"/>
      <c r="N31" s="19"/>
    </row>
    <row r="32" spans="1:24" x14ac:dyDescent="0.3">
      <c r="I32" s="18" t="str">
        <f>IF(J32&lt;&gt;"", COUNTIFS($J$12:$J32, "&lt;&gt;") - COUNTIF($J$12:$J32, ""), "")</f>
        <v/>
      </c>
      <c r="J32" s="19"/>
      <c r="K32" s="18"/>
      <c r="L32" s="18"/>
      <c r="M32" s="23"/>
      <c r="N32" s="19"/>
    </row>
    <row r="33" spans="9:14" x14ac:dyDescent="0.3">
      <c r="I33" s="18" t="str">
        <f>IF(J33&lt;&gt;"", COUNTIFS($J$12:$J33, "&lt;&gt;") - COUNTIF($J$12:$J33, ""), "")</f>
        <v/>
      </c>
      <c r="J33" s="19"/>
      <c r="K33" s="18"/>
      <c r="L33" s="18"/>
      <c r="M33" s="23"/>
      <c r="N33" s="19"/>
    </row>
    <row r="34" spans="9:14" x14ac:dyDescent="0.3">
      <c r="I34" s="18" t="str">
        <f>IF(J34&lt;&gt;"", COUNTIFS($J$12:$J34, "&lt;&gt;") - COUNTIF($J$12:$J34, ""), "")</f>
        <v/>
      </c>
      <c r="J34" s="19"/>
      <c r="K34" s="23"/>
      <c r="L34" s="18"/>
      <c r="M34" s="23"/>
      <c r="N34" s="19"/>
    </row>
  </sheetData>
  <mergeCells count="3">
    <mergeCell ref="A11:G11"/>
    <mergeCell ref="A19:G19"/>
    <mergeCell ref="I9:J9"/>
  </mergeCells>
  <conditionalFormatting sqref="A13:G18">
    <cfRule type="expression" dxfId="20" priority="5">
      <formula>A13=TODAY()</formula>
    </cfRule>
    <cfRule type="expression" dxfId="19" priority="6">
      <formula>MONTH(A13)&lt;&gt;MONTH(start)</formula>
    </cfRule>
  </conditionalFormatting>
  <conditionalFormatting sqref="A21:G26">
    <cfRule type="expression" dxfId="18" priority="1">
      <formula>A21=TODAY()</formula>
    </cfRule>
    <cfRule type="expression" dxfId="17" priority="2">
      <formula>MONTH(A21)&lt;&gt;MONTH(previous_start)</formula>
    </cfRule>
  </conditionalFormatting>
  <dataValidations count="9">
    <dataValidation type="list" allowBlank="1" showInputMessage="1" showErrorMessage="1" sqref="K12:K34" xr:uid="{4D64E31A-AEF8-49B3-801D-A9077865785D}">
      <formula1>Priority_list</formula1>
    </dataValidation>
    <dataValidation type="list" allowBlank="1" showInputMessage="1" showErrorMessage="1" sqref="L12:L34" xr:uid="{C4CC3638-689F-47DE-9198-0B3DB5007C26}">
      <formula1>Status_names</formula1>
    </dataValidation>
    <dataValidation allowBlank="1" showInputMessage="1" showErrorMessage="1" prompt="Click on any of the dates to show the activities. Thanks!" sqref="A13:G18 A21:G26" xr:uid="{99B232C5-AA38-4EC1-B626-22173151B792}"/>
    <dataValidation allowBlank="1" showInputMessage="1" showErrorMessage="1" prompt="This is formula based column hence, you don't need to make any entries here.Thanks!" sqref="I11" xr:uid="{8A98C1BA-E31B-4943-9B03-9A975C3C51A2}"/>
    <dataValidation allowBlank="1" showInputMessage="1" showErrorMessage="1" prompt="To add New Task enter the Task Name in this column" sqref="J11" xr:uid="{0CA6ADC3-9ED2-458E-9101-303836348F05}"/>
    <dataValidation allowBlank="1" showInputMessage="1" showErrorMessage="1" prompt="Select Priority in this column under this heading. Press ALT + DOWN ARROW to open the drop-down list, then ENTER to make selection" sqref="K11" xr:uid="{6ECE03A0-CB43-4605-A3A1-52AA060FC521}"/>
    <dataValidation allowBlank="1" showInputMessage="1" showErrorMessage="1" prompt="Select Status in this column under this heading. Press ALT + DOWN ARROW to open the drop-down list, then ENTER to make selection" sqref="L11" xr:uid="{6A277823-BA48-4903-A3A8-EFF2A7A5AA50}"/>
    <dataValidation allowBlank="1" showInputMessage="1" showErrorMessage="1" prompt="Enter Deferred Date in this column under this heading" sqref="M11" xr:uid="{1FE05C21-912D-4628-9743-AEEEEBA404F6}"/>
    <dataValidation allowBlank="1" showInputMessage="1" showErrorMessage="1" prompt="Enter Notes in this column under this heading" sqref="N11" xr:uid="{D75ADEB0-00B2-42D6-BFFE-8849468E7646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heckBox2">
          <controlPr defaultSize="0" autoLine="0" altText="" r:id="rId5">
            <anchor moveWithCells="1">
              <from>
                <xdr:col>8</xdr:col>
                <xdr:colOff>22860</xdr:colOff>
                <xdr:row>6</xdr:row>
                <xdr:rowOff>45720</xdr:rowOff>
              </from>
              <to>
                <xdr:col>9</xdr:col>
                <xdr:colOff>182880</xdr:colOff>
                <xdr:row>7</xdr:row>
                <xdr:rowOff>76200</xdr:rowOff>
              </to>
            </anchor>
          </controlPr>
        </control>
      </mc:Choice>
      <mc:Fallback>
        <control shapeId="1034" r:id="rId4" name="CheckBox2"/>
      </mc:Fallback>
    </mc:AlternateContent>
    <mc:AlternateContent xmlns:mc="http://schemas.openxmlformats.org/markup-compatibility/2006">
      <mc:Choice Requires="x14">
        <control shapeId="1033" r:id="rId6" name="CheckBox1">
          <controlPr defaultSize="0" autoLine="0" autoPict="0" r:id="rId7">
            <anchor moveWithCells="1">
              <from>
                <xdr:col>0</xdr:col>
                <xdr:colOff>45720</xdr:colOff>
                <xdr:row>8</xdr:row>
                <xdr:rowOff>30480</xdr:rowOff>
              </from>
              <to>
                <xdr:col>6</xdr:col>
                <xdr:colOff>91440</xdr:colOff>
                <xdr:row>9</xdr:row>
                <xdr:rowOff>53340</xdr:rowOff>
              </to>
            </anchor>
          </controlPr>
        </control>
      </mc:Choice>
      <mc:Fallback>
        <control shapeId="1033" r:id="rId6" name="CheckBox1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Calendar" prompt="Select Month from drop-down and then click on date to show the activities." xr:uid="{1C6A9BC1-3A0D-45FB-B4D4-DCB96141F643}">
          <x14:formula1>
            <xm:f>Support!$A$2:$A$13</xm:f>
          </x14:formula1>
          <xm:sqref>A11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59D07-ED11-41C5-8770-D4D7291265C4}">
  <sheetPr codeName="Sheet3"/>
  <dimension ref="A1:N44"/>
  <sheetViews>
    <sheetView workbookViewId="0">
      <selection activeCell="A2" sqref="A2"/>
    </sheetView>
  </sheetViews>
  <sheetFormatPr defaultRowHeight="14.4" x14ac:dyDescent="0.3"/>
  <cols>
    <col min="1" max="1" width="7.77734375" bestFit="1" customWidth="1"/>
    <col min="2" max="2" width="10.88671875" bestFit="1" customWidth="1"/>
    <col min="3" max="3" width="23" customWidth="1"/>
    <col min="4" max="4" width="14" customWidth="1"/>
    <col min="5" max="5" width="14.5546875" customWidth="1"/>
    <col min="6" max="6" width="22.88671875" customWidth="1"/>
    <col min="7" max="7" width="32.109375" customWidth="1"/>
    <col min="8" max="8" width="54.44140625" customWidth="1"/>
    <col min="14" max="14" width="10.44140625" bestFit="1" customWidth="1"/>
  </cols>
  <sheetData>
    <row r="1" spans="1:14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</row>
    <row r="2" spans="1:14" x14ac:dyDescent="0.3">
      <c r="A2" s="8">
        <v>1</v>
      </c>
      <c r="B2" s="9">
        <v>45499</v>
      </c>
      <c r="C2" s="10" t="s">
        <v>31</v>
      </c>
      <c r="D2" s="10" t="s">
        <v>22</v>
      </c>
      <c r="E2" s="10" t="s">
        <v>5</v>
      </c>
      <c r="F2" s="8"/>
      <c r="G2" s="10" t="s">
        <v>23</v>
      </c>
      <c r="H2" s="10" t="str">
        <f>MasterTable[[#This Row],[S.No.]]&amp;"| "&amp;MasterTable[[#This Row],[Due Date]]&amp;"| "&amp;MasterTable[[#This Row],[Task Name]]</f>
        <v>1| 45499| Collecting Data</v>
      </c>
    </row>
    <row r="3" spans="1:14" x14ac:dyDescent="0.3">
      <c r="A3" s="8">
        <v>2</v>
      </c>
      <c r="B3" s="9">
        <v>45499</v>
      </c>
      <c r="C3" s="10" t="s">
        <v>32</v>
      </c>
      <c r="D3" s="10" t="s">
        <v>22</v>
      </c>
      <c r="E3" s="10" t="s">
        <v>5</v>
      </c>
      <c r="F3" s="8"/>
      <c r="G3" s="10" t="s">
        <v>23</v>
      </c>
      <c r="H3" s="10" t="str">
        <f>MasterTable[[#This Row],[S.No.]]&amp;"| "&amp;MasterTable[[#This Row],[Due Date]]&amp;"| "&amp;MasterTable[[#This Row],[Task Name]]</f>
        <v>2| 45499| Cleaning Data</v>
      </c>
      <c r="M3" t="s">
        <v>22</v>
      </c>
      <c r="N3" t="s">
        <v>5</v>
      </c>
    </row>
    <row r="4" spans="1:14" x14ac:dyDescent="0.3">
      <c r="A4" s="8">
        <v>3</v>
      </c>
      <c r="B4" s="9">
        <v>45499</v>
      </c>
      <c r="C4" s="10" t="s">
        <v>33</v>
      </c>
      <c r="D4" s="10" t="s">
        <v>24</v>
      </c>
      <c r="E4" s="10" t="s">
        <v>3</v>
      </c>
      <c r="F4" s="8"/>
      <c r="G4" s="10"/>
      <c r="H4" s="10" t="str">
        <f>MasterTable[[#This Row],[S.No.]]&amp;"| "&amp;MasterTable[[#This Row],[Due Date]]&amp;"| "&amp;MasterTable[[#This Row],[Task Name]]</f>
        <v>3| 45499| Maintaining Databases</v>
      </c>
      <c r="M4" t="s">
        <v>24</v>
      </c>
      <c r="N4" t="s">
        <v>3</v>
      </c>
    </row>
    <row r="5" spans="1:14" x14ac:dyDescent="0.3">
      <c r="A5" s="8">
        <v>4</v>
      </c>
      <c r="B5" s="9">
        <v>45499</v>
      </c>
      <c r="C5" s="10" t="s">
        <v>40</v>
      </c>
      <c r="D5" s="10" t="s">
        <v>22</v>
      </c>
      <c r="E5" s="10" t="s">
        <v>5</v>
      </c>
      <c r="F5" s="8"/>
      <c r="G5" s="10" t="s">
        <v>23</v>
      </c>
      <c r="H5" s="10" t="str">
        <f>MasterTable[[#This Row],[S.No.]]&amp;"| "&amp;MasterTable[[#This Row],[Due Date]]&amp;"| "&amp;MasterTable[[#This Row],[Task Name]]</f>
        <v>4| 45499| Send report to Lauren</v>
      </c>
      <c r="M5" t="s">
        <v>25</v>
      </c>
      <c r="N5" t="s">
        <v>4</v>
      </c>
    </row>
    <row r="6" spans="1:14" x14ac:dyDescent="0.3">
      <c r="A6" s="8">
        <v>5</v>
      </c>
      <c r="B6" s="9">
        <v>45499</v>
      </c>
      <c r="C6" s="10" t="s">
        <v>37</v>
      </c>
      <c r="D6" s="10" t="s">
        <v>22</v>
      </c>
      <c r="E6" s="10" t="s">
        <v>5</v>
      </c>
      <c r="F6" s="8"/>
      <c r="G6" s="10" t="s">
        <v>23</v>
      </c>
      <c r="H6" s="10" t="str">
        <f>MasterTable[[#This Row],[S.No.]]&amp;"| "&amp;MasterTable[[#This Row],[Due Date]]&amp;"| "&amp;MasterTable[[#This Row],[Task Name]]</f>
        <v>5| 45499| Creating Dashboards</v>
      </c>
    </row>
    <row r="7" spans="1:14" x14ac:dyDescent="0.3">
      <c r="A7" s="8">
        <v>6</v>
      </c>
      <c r="B7" s="9">
        <v>45499</v>
      </c>
      <c r="C7" s="10" t="s">
        <v>36</v>
      </c>
      <c r="D7" s="10" t="s">
        <v>22</v>
      </c>
      <c r="E7" s="10" t="s">
        <v>5</v>
      </c>
      <c r="F7" s="8"/>
      <c r="G7" s="10" t="s">
        <v>23</v>
      </c>
      <c r="H7" s="10" t="str">
        <f>MasterTable[[#This Row],[S.No.]]&amp;"| "&amp;MasterTable[[#This Row],[Due Date]]&amp;"| "&amp;MasterTable[[#This Row],[Task Name]]</f>
        <v>6| 45499| Identifying the problem</v>
      </c>
      <c r="N7" t="s">
        <v>2</v>
      </c>
    </row>
    <row r="8" spans="1:14" x14ac:dyDescent="0.3">
      <c r="A8" s="8">
        <v>7</v>
      </c>
      <c r="B8" s="9">
        <v>45499</v>
      </c>
      <c r="C8" s="10" t="s">
        <v>35</v>
      </c>
      <c r="D8" s="10" t="s">
        <v>25</v>
      </c>
      <c r="E8" s="10" t="s">
        <v>4</v>
      </c>
      <c r="F8" s="9">
        <v>45506</v>
      </c>
      <c r="G8" s="10"/>
      <c r="H8" s="10" t="str">
        <f>MasterTable[[#This Row],[S.No.]]&amp;"| "&amp;MasterTable[[#This Row],[Due Date]]&amp;"| "&amp;MasterTable[[#This Row],[Task Name]]</f>
        <v>7| 45499| Interpreting Data</v>
      </c>
    </row>
    <row r="9" spans="1:14" x14ac:dyDescent="0.3">
      <c r="A9" s="8">
        <v>8</v>
      </c>
      <c r="B9" s="9">
        <v>45499</v>
      </c>
      <c r="C9" s="10" t="s">
        <v>34</v>
      </c>
      <c r="D9" s="10" t="s">
        <v>22</v>
      </c>
      <c r="E9" s="10"/>
      <c r="F9" s="8"/>
      <c r="G9" s="10"/>
      <c r="H9" s="10" t="str">
        <f>MasterTable[[#This Row],[S.No.]]&amp;"| "&amp;MasterTable[[#This Row],[Due Date]]&amp;"| "&amp;MasterTable[[#This Row],[Task Name]]</f>
        <v>8| 45499| Designing databases</v>
      </c>
    </row>
    <row r="10" spans="1:14" x14ac:dyDescent="0.3">
      <c r="A10" s="8">
        <v>9</v>
      </c>
      <c r="B10" s="9">
        <v>45499</v>
      </c>
      <c r="C10" s="10" t="s">
        <v>38</v>
      </c>
      <c r="D10" s="10" t="s">
        <v>25</v>
      </c>
      <c r="E10" s="10" t="s">
        <v>3</v>
      </c>
      <c r="F10" s="8"/>
      <c r="G10" s="10"/>
      <c r="H10" s="10" t="str">
        <f>MasterTable[[#This Row],[S.No.]]&amp;"| "&amp;MasterTable[[#This Row],[Due Date]]&amp;"| "&amp;MasterTable[[#This Row],[Task Name]]</f>
        <v>9| 45499| Presenting the findings</v>
      </c>
    </row>
    <row r="11" spans="1:14" x14ac:dyDescent="0.3">
      <c r="A11" s="8">
        <v>10</v>
      </c>
      <c r="B11" s="9">
        <v>45499</v>
      </c>
      <c r="C11" s="10" t="s">
        <v>39</v>
      </c>
      <c r="D11" s="10" t="s">
        <v>24</v>
      </c>
      <c r="E11" s="10" t="s">
        <v>4</v>
      </c>
      <c r="F11" s="9">
        <v>45594</v>
      </c>
      <c r="G11" s="10"/>
      <c r="H11" s="10" t="str">
        <f>MasterTable[[#This Row],[S.No.]]&amp;"| "&amp;MasterTable[[#This Row],[Due Date]]&amp;"| "&amp;MasterTable[[#This Row],[Task Name]]</f>
        <v>10| 45499| Attend team meeting</v>
      </c>
    </row>
    <row r="12" spans="1:14" x14ac:dyDescent="0.3">
      <c r="A12" s="8">
        <v>11</v>
      </c>
      <c r="B12" s="9">
        <v>45499</v>
      </c>
      <c r="C12" s="10" t="s">
        <v>31</v>
      </c>
      <c r="D12" s="10" t="s">
        <v>22</v>
      </c>
      <c r="E12" s="10" t="s">
        <v>2</v>
      </c>
      <c r="F12" s="8"/>
      <c r="G12" s="10"/>
      <c r="H12" s="10" t="str">
        <f>MasterTable[[#This Row],[S.No.]]&amp;"| "&amp;MasterTable[[#This Row],[Due Date]]&amp;"| "&amp;MasterTable[[#This Row],[Task Name]]</f>
        <v>11| 45499| Collecting Data</v>
      </c>
    </row>
    <row r="13" spans="1:14" x14ac:dyDescent="0.3">
      <c r="A13" s="8">
        <v>12</v>
      </c>
      <c r="B13" s="9">
        <v>45499</v>
      </c>
      <c r="C13" s="10" t="s">
        <v>32</v>
      </c>
      <c r="D13" s="10" t="s">
        <v>22</v>
      </c>
      <c r="E13" s="10" t="s">
        <v>2</v>
      </c>
      <c r="F13" s="8"/>
      <c r="G13" s="10"/>
      <c r="H13" s="10" t="str">
        <f>MasterTable[[#This Row],[S.No.]]&amp;"| "&amp;MasterTable[[#This Row],[Due Date]]&amp;"| "&amp;MasterTable[[#This Row],[Task Name]]</f>
        <v>12| 45499| Cleaning Data</v>
      </c>
    </row>
    <row r="14" spans="1:14" x14ac:dyDescent="0.3">
      <c r="A14" s="8">
        <v>13</v>
      </c>
      <c r="B14" s="9">
        <v>45499</v>
      </c>
      <c r="C14" s="10" t="s">
        <v>33</v>
      </c>
      <c r="D14" s="10" t="s">
        <v>24</v>
      </c>
      <c r="E14" s="10" t="s">
        <v>3</v>
      </c>
      <c r="F14" s="8"/>
      <c r="G14" s="10"/>
      <c r="H14" s="10" t="str">
        <f>MasterTable[[#This Row],[S.No.]]&amp;"| "&amp;MasterTable[[#This Row],[Due Date]]&amp;"| "&amp;MasterTable[[#This Row],[Task Name]]</f>
        <v>13| 45499| Maintaining Databases</v>
      </c>
    </row>
    <row r="15" spans="1:14" x14ac:dyDescent="0.3">
      <c r="A15" s="8">
        <v>14</v>
      </c>
      <c r="B15" s="9">
        <v>45499</v>
      </c>
      <c r="C15" s="10" t="s">
        <v>40</v>
      </c>
      <c r="D15" s="10" t="s">
        <v>22</v>
      </c>
      <c r="E15" s="10"/>
      <c r="F15" s="8"/>
      <c r="G15" s="10"/>
      <c r="H15" s="10" t="str">
        <f>MasterTable[[#This Row],[S.No.]]&amp;"| "&amp;MasterTable[[#This Row],[Due Date]]&amp;"| "&amp;MasterTable[[#This Row],[Task Name]]</f>
        <v>14| 45499| Send report to Lauren</v>
      </c>
    </row>
    <row r="16" spans="1:14" x14ac:dyDescent="0.3">
      <c r="A16" s="8">
        <v>15</v>
      </c>
      <c r="B16" s="9">
        <v>45499</v>
      </c>
      <c r="C16" s="10" t="s">
        <v>37</v>
      </c>
      <c r="D16" s="10" t="s">
        <v>22</v>
      </c>
      <c r="E16" s="10" t="s">
        <v>3</v>
      </c>
      <c r="F16" s="8"/>
      <c r="G16" s="10"/>
      <c r="H16" s="10" t="str">
        <f>MasterTable[[#This Row],[S.No.]]&amp;"| "&amp;MasterTable[[#This Row],[Due Date]]&amp;"| "&amp;MasterTable[[#This Row],[Task Name]]</f>
        <v>15| 45499| Creating Dashboards</v>
      </c>
    </row>
    <row r="17" spans="1:10" x14ac:dyDescent="0.3">
      <c r="A17" s="8">
        <v>20</v>
      </c>
      <c r="B17" s="9">
        <v>45501</v>
      </c>
      <c r="C17" s="10" t="s">
        <v>33</v>
      </c>
      <c r="D17" s="10" t="s">
        <v>24</v>
      </c>
      <c r="E17" s="10" t="s">
        <v>5</v>
      </c>
      <c r="F17" s="8"/>
      <c r="G17" s="10"/>
      <c r="H17" s="10" t="str">
        <f>MasterTable[[#This Row],[S.No.]]&amp;"| "&amp;MasterTable[[#This Row],[Due Date]]&amp;"| "&amp;MasterTable[[#This Row],[Task Name]]</f>
        <v>20| 45501| Maintaining Databases</v>
      </c>
    </row>
    <row r="18" spans="1:10" x14ac:dyDescent="0.3">
      <c r="A18" s="8">
        <v>17</v>
      </c>
      <c r="B18" s="9">
        <v>45469</v>
      </c>
      <c r="C18" s="10" t="s">
        <v>35</v>
      </c>
      <c r="D18" s="10" t="s">
        <v>25</v>
      </c>
      <c r="E18" s="10"/>
      <c r="F18" s="8"/>
      <c r="G18" s="10"/>
      <c r="H18" s="10" t="str">
        <f>MasterTable[[#This Row],[S.No.]]&amp;"| "&amp;MasterTable[[#This Row],[Due Date]]&amp;"| "&amp;MasterTable[[#This Row],[Task Name]]</f>
        <v>17| 45469| Interpreting Data</v>
      </c>
    </row>
    <row r="19" spans="1:10" x14ac:dyDescent="0.3">
      <c r="A19" s="8">
        <v>18</v>
      </c>
      <c r="B19" s="9">
        <v>45469</v>
      </c>
      <c r="C19" s="10" t="s">
        <v>34</v>
      </c>
      <c r="D19" s="10" t="s">
        <v>25</v>
      </c>
      <c r="E19" s="10"/>
      <c r="F19" s="8"/>
      <c r="G19" s="10"/>
      <c r="H19" s="10" t="str">
        <f>MasterTable[[#This Row],[S.No.]]&amp;"| "&amp;MasterTable[[#This Row],[Due Date]]&amp;"| "&amp;MasterTable[[#This Row],[Task Name]]</f>
        <v>18| 45469| Designing databases</v>
      </c>
    </row>
    <row r="20" spans="1:10" x14ac:dyDescent="0.3">
      <c r="A20" s="8">
        <v>19</v>
      </c>
      <c r="B20" s="9">
        <v>45469</v>
      </c>
      <c r="C20" s="10" t="s">
        <v>38</v>
      </c>
      <c r="D20" s="10" t="s">
        <v>25</v>
      </c>
      <c r="E20" s="10"/>
      <c r="F20" s="8"/>
      <c r="G20" s="10"/>
      <c r="H20" s="10" t="str">
        <f>MasterTable[[#This Row],[S.No.]]&amp;"| "&amp;MasterTable[[#This Row],[Due Date]]&amp;"| "&amp;MasterTable[[#This Row],[Task Name]]</f>
        <v>19| 45469| Presenting the findings</v>
      </c>
    </row>
    <row r="21" spans="1:10" x14ac:dyDescent="0.3">
      <c r="A21" s="8">
        <v>16</v>
      </c>
      <c r="B21" s="9">
        <v>45499</v>
      </c>
      <c r="C21" s="10" t="s">
        <v>34</v>
      </c>
      <c r="D21" s="10" t="s">
        <v>22</v>
      </c>
      <c r="E21" s="10"/>
      <c r="F21" s="8"/>
      <c r="G21" s="10"/>
      <c r="H21" s="10" t="str">
        <f>MasterTable[[#This Row],[S.No.]]&amp;"| "&amp;MasterTable[[#This Row],[Due Date]]&amp;"| "&amp;MasterTable[[#This Row],[Task Name]]</f>
        <v>16| 45499| Designing databases</v>
      </c>
    </row>
    <row r="22" spans="1:10" x14ac:dyDescent="0.3">
      <c r="A22" s="8">
        <v>21</v>
      </c>
      <c r="B22" s="9">
        <v>45501</v>
      </c>
      <c r="C22" s="10" t="s">
        <v>40</v>
      </c>
      <c r="D22" s="10" t="s">
        <v>22</v>
      </c>
      <c r="E22" s="10" t="s">
        <v>5</v>
      </c>
      <c r="F22" s="8"/>
      <c r="G22" s="10"/>
      <c r="H22" s="10" t="str">
        <f>MasterTable[[#This Row],[S.No.]]&amp;"| "&amp;MasterTable[[#This Row],[Due Date]]&amp;"| "&amp;MasterTable[[#This Row],[Task Name]]</f>
        <v>21| 45501| Send report to Lauren</v>
      </c>
    </row>
    <row r="23" spans="1:10" x14ac:dyDescent="0.3">
      <c r="A23" s="8">
        <v>22</v>
      </c>
      <c r="B23" s="9">
        <v>45501</v>
      </c>
      <c r="C23" s="10" t="s">
        <v>37</v>
      </c>
      <c r="D23" s="10" t="s">
        <v>22</v>
      </c>
      <c r="E23" s="10" t="s">
        <v>3</v>
      </c>
      <c r="F23" s="8"/>
      <c r="G23" s="10" t="s">
        <v>26</v>
      </c>
      <c r="H23" s="10" t="str">
        <f>MasterTable[[#This Row],[S.No.]]&amp;"| "&amp;MasterTable[[#This Row],[Due Date]]&amp;"| "&amp;MasterTable[[#This Row],[Task Name]]</f>
        <v>22| 45501| Creating Dashboards</v>
      </c>
    </row>
    <row r="24" spans="1:10" x14ac:dyDescent="0.3">
      <c r="A24" s="8">
        <v>23</v>
      </c>
      <c r="B24" s="9">
        <v>45501</v>
      </c>
      <c r="C24" s="10" t="s">
        <v>36</v>
      </c>
      <c r="D24" s="10" t="s">
        <v>25</v>
      </c>
      <c r="E24" s="10" t="s">
        <v>3</v>
      </c>
      <c r="F24" s="8"/>
      <c r="G24" s="10" t="s">
        <v>26</v>
      </c>
      <c r="H24" s="10" t="str">
        <f>MasterTable[[#This Row],[S.No.]]&amp;"| "&amp;MasterTable[[#This Row],[Due Date]]&amp;"| "&amp;MasterTable[[#This Row],[Task Name]]</f>
        <v>23| 45501| Identifying the problem</v>
      </c>
    </row>
    <row r="25" spans="1:10" x14ac:dyDescent="0.3">
      <c r="A25" s="8">
        <v>24</v>
      </c>
      <c r="B25" s="9">
        <v>45501</v>
      </c>
      <c r="C25" s="10" t="s">
        <v>35</v>
      </c>
      <c r="D25" s="10" t="s">
        <v>25</v>
      </c>
      <c r="E25" s="10" t="s">
        <v>5</v>
      </c>
      <c r="F25" s="8"/>
      <c r="G25" s="10" t="s">
        <v>42</v>
      </c>
      <c r="H25" s="10" t="str">
        <f>MasterTable[[#This Row],[S.No.]]&amp;"| "&amp;MasterTable[[#This Row],[Due Date]]&amp;"| "&amp;MasterTable[[#This Row],[Task Name]]</f>
        <v>24| 45501| Interpreting Data</v>
      </c>
    </row>
    <row r="26" spans="1:10" x14ac:dyDescent="0.3">
      <c r="A26" s="8">
        <v>25</v>
      </c>
      <c r="B26" s="9">
        <v>45501</v>
      </c>
      <c r="C26" s="10" t="s">
        <v>34</v>
      </c>
      <c r="D26" s="10" t="s">
        <v>25</v>
      </c>
      <c r="E26" s="10" t="s">
        <v>4</v>
      </c>
      <c r="F26" s="9">
        <v>45533</v>
      </c>
      <c r="G26" s="10" t="s">
        <v>26</v>
      </c>
      <c r="H26" s="10" t="str">
        <f>MasterTable[[#This Row],[S.No.]]&amp;"| "&amp;MasterTable[[#This Row],[Due Date]]&amp;"| "&amp;MasterTable[[#This Row],[Task Name]]</f>
        <v>25| 45501| Designing databases</v>
      </c>
    </row>
    <row r="27" spans="1:10" x14ac:dyDescent="0.3">
      <c r="A27" s="8">
        <v>26</v>
      </c>
      <c r="B27" s="9">
        <v>45501</v>
      </c>
      <c r="C27" s="10" t="s">
        <v>38</v>
      </c>
      <c r="D27" s="10" t="s">
        <v>22</v>
      </c>
      <c r="E27" s="10" t="s">
        <v>5</v>
      </c>
      <c r="F27" s="8"/>
      <c r="G27" s="10" t="s">
        <v>27</v>
      </c>
      <c r="H27" s="10" t="str">
        <f>MasterTable[[#This Row],[S.No.]]&amp;"| "&amp;MasterTable[[#This Row],[Due Date]]&amp;"| "&amp;MasterTable[[#This Row],[Task Name]]</f>
        <v>26| 45501| Presenting the findings</v>
      </c>
    </row>
    <row r="28" spans="1:10" x14ac:dyDescent="0.3">
      <c r="A28" s="8">
        <v>27</v>
      </c>
      <c r="B28" s="9">
        <v>45501</v>
      </c>
      <c r="C28" s="10" t="s">
        <v>31</v>
      </c>
      <c r="D28" s="10" t="s">
        <v>22</v>
      </c>
      <c r="E28" s="10" t="s">
        <v>4</v>
      </c>
      <c r="F28" s="9">
        <v>45565</v>
      </c>
      <c r="G28" s="10" t="s">
        <v>26</v>
      </c>
      <c r="H28" s="10" t="str">
        <f>MasterTable[[#This Row],[S.No.]]&amp;"| "&amp;MasterTable[[#This Row],[Due Date]]&amp;"| "&amp;MasterTable[[#This Row],[Task Name]]</f>
        <v>27| 45501| Collecting Data</v>
      </c>
      <c r="J28" s="6"/>
    </row>
    <row r="29" spans="1:10" x14ac:dyDescent="0.3">
      <c r="A29" s="8">
        <v>28</v>
      </c>
      <c r="B29" s="9">
        <v>45501</v>
      </c>
      <c r="C29" s="10" t="s">
        <v>32</v>
      </c>
      <c r="D29" s="10" t="s">
        <v>24</v>
      </c>
      <c r="E29" s="10" t="s">
        <v>2</v>
      </c>
      <c r="F29" s="8"/>
      <c r="G29" s="10" t="s">
        <v>26</v>
      </c>
      <c r="H29" s="10" t="str">
        <f>MasterTable[[#This Row],[S.No.]]&amp;"| "&amp;MasterTable[[#This Row],[Due Date]]&amp;"| "&amp;MasterTable[[#This Row],[Task Name]]</f>
        <v>28| 45501| Cleaning Data</v>
      </c>
    </row>
    <row r="30" spans="1:10" x14ac:dyDescent="0.3">
      <c r="A30" s="8">
        <v>29</v>
      </c>
      <c r="B30" s="9">
        <v>45501</v>
      </c>
      <c r="C30" s="10" t="s">
        <v>33</v>
      </c>
      <c r="D30" s="10" t="s">
        <v>22</v>
      </c>
      <c r="E30" s="10" t="s">
        <v>2</v>
      </c>
      <c r="F30" s="8"/>
      <c r="G30" s="10" t="s">
        <v>26</v>
      </c>
      <c r="H30" s="10" t="str">
        <f>MasterTable[[#This Row],[S.No.]]&amp;"| "&amp;MasterTable[[#This Row],[Due Date]]&amp;"| "&amp;MasterTable[[#This Row],[Task Name]]</f>
        <v>29| 45501| Maintaining Databases</v>
      </c>
    </row>
    <row r="31" spans="1:10" x14ac:dyDescent="0.3">
      <c r="A31" s="8">
        <v>30</v>
      </c>
      <c r="B31" s="9">
        <v>45501</v>
      </c>
      <c r="C31" s="10" t="s">
        <v>40</v>
      </c>
      <c r="D31" s="10" t="s">
        <v>22</v>
      </c>
      <c r="E31" s="10" t="s">
        <v>5</v>
      </c>
      <c r="F31" s="8"/>
      <c r="G31" s="10" t="s">
        <v>27</v>
      </c>
      <c r="H31" s="10" t="str">
        <f>MasterTable[[#This Row],[S.No.]]&amp;"| "&amp;MasterTable[[#This Row],[Due Date]]&amp;"| "&amp;MasterTable[[#This Row],[Task Name]]</f>
        <v>30| 45501| Send report to Lauren</v>
      </c>
    </row>
    <row r="32" spans="1:10" x14ac:dyDescent="0.3">
      <c r="A32" s="8">
        <v>31</v>
      </c>
      <c r="B32" s="9">
        <v>45501</v>
      </c>
      <c r="C32" s="10" t="s">
        <v>37</v>
      </c>
      <c r="D32" s="10" t="s">
        <v>25</v>
      </c>
      <c r="E32" s="10" t="s">
        <v>2</v>
      </c>
      <c r="F32" s="8"/>
      <c r="G32" s="10" t="s">
        <v>26</v>
      </c>
      <c r="H32" s="10" t="str">
        <f>MasterTable[[#This Row],[S.No.]]&amp;"| "&amp;MasterTable[[#This Row],[Due Date]]&amp;"| "&amp;MasterTable[[#This Row],[Task Name]]</f>
        <v>31| 45501| Creating Dashboards</v>
      </c>
    </row>
    <row r="33" spans="1:8" x14ac:dyDescent="0.3">
      <c r="A33" s="8">
        <v>32</v>
      </c>
      <c r="B33" s="9">
        <v>45501</v>
      </c>
      <c r="C33" s="10" t="s">
        <v>35</v>
      </c>
      <c r="D33" s="10" t="s">
        <v>25</v>
      </c>
      <c r="E33" s="10" t="s">
        <v>3</v>
      </c>
      <c r="F33" s="8"/>
      <c r="G33" s="10" t="s">
        <v>26</v>
      </c>
      <c r="H33" s="10" t="str">
        <f>MasterTable[[#This Row],[S.No.]]&amp;"| "&amp;MasterTable[[#This Row],[Due Date]]&amp;"| "&amp;MasterTable[[#This Row],[Task Name]]</f>
        <v>32| 45501| Interpreting Data</v>
      </c>
    </row>
    <row r="34" spans="1:8" x14ac:dyDescent="0.3">
      <c r="A34" s="8">
        <v>33</v>
      </c>
      <c r="B34" s="9">
        <v>45501</v>
      </c>
      <c r="C34" s="10" t="s">
        <v>34</v>
      </c>
      <c r="D34" s="10" t="s">
        <v>25</v>
      </c>
      <c r="E34" s="10" t="s">
        <v>3</v>
      </c>
      <c r="F34" s="8"/>
      <c r="G34" s="10" t="s">
        <v>26</v>
      </c>
      <c r="H34" s="10" t="str">
        <f>MasterTable[[#This Row],[S.No.]]&amp;"| "&amp;MasterTable[[#This Row],[Due Date]]&amp;"| "&amp;MasterTable[[#This Row],[Task Name]]</f>
        <v>33| 45501| Designing databases</v>
      </c>
    </row>
    <row r="35" spans="1:8" x14ac:dyDescent="0.3">
      <c r="A35" s="8">
        <v>34</v>
      </c>
      <c r="B35" s="9">
        <v>45501</v>
      </c>
      <c r="C35" s="10" t="s">
        <v>38</v>
      </c>
      <c r="D35" s="10" t="s">
        <v>25</v>
      </c>
      <c r="E35" s="10" t="s">
        <v>3</v>
      </c>
      <c r="F35" s="8"/>
      <c r="G35" s="10" t="s">
        <v>26</v>
      </c>
      <c r="H35" s="10" t="str">
        <f>MasterTable[[#This Row],[S.No.]]&amp;"| "&amp;MasterTable[[#This Row],[Due Date]]&amp;"| "&amp;MasterTable[[#This Row],[Task Name]]</f>
        <v>34| 45501| Presenting the findings</v>
      </c>
    </row>
    <row r="36" spans="1:8" x14ac:dyDescent="0.3">
      <c r="A36" s="8">
        <v>35</v>
      </c>
      <c r="B36" s="9">
        <v>45502</v>
      </c>
      <c r="C36" s="10" t="s">
        <v>41</v>
      </c>
      <c r="D36" s="10" t="s">
        <v>22</v>
      </c>
      <c r="E36" s="10" t="s">
        <v>5</v>
      </c>
      <c r="F36" s="8"/>
      <c r="G36" s="10"/>
      <c r="H36" s="10" t="str">
        <f>MasterTable[[#This Row],[S.No.]]&amp;"| "&amp;MasterTable[[#This Row],[Due Date]]&amp;"| "&amp;MasterTable[[#This Row],[Task Name]]</f>
        <v>35| 45502| Approve leave</v>
      </c>
    </row>
    <row r="37" spans="1:8" x14ac:dyDescent="0.3">
      <c r="A37" s="8">
        <v>36</v>
      </c>
      <c r="B37" s="9">
        <v>45502</v>
      </c>
      <c r="C37" s="10" t="s">
        <v>41</v>
      </c>
      <c r="D37" s="10" t="s">
        <v>22</v>
      </c>
      <c r="E37" s="10" t="s">
        <v>3</v>
      </c>
      <c r="F37" s="8"/>
      <c r="G37" s="10"/>
      <c r="H37" s="10" t="str">
        <f>MasterTable[[#This Row],[S.No.]]&amp;"| "&amp;MasterTable[[#This Row],[Due Date]]&amp;"| "&amp;MasterTable[[#This Row],[Task Name]]</f>
        <v>36| 45502| Approve leave</v>
      </c>
    </row>
    <row r="38" spans="1:8" x14ac:dyDescent="0.3">
      <c r="A38" s="8">
        <v>37</v>
      </c>
      <c r="B38" s="9">
        <v>45464</v>
      </c>
      <c r="C38" s="10" t="s">
        <v>41</v>
      </c>
      <c r="D38" s="10" t="s">
        <v>22</v>
      </c>
      <c r="E38" s="10"/>
      <c r="F38" s="8"/>
      <c r="G38" s="10"/>
      <c r="H38" s="10" t="str">
        <f>MasterTable[[#This Row],[S.No.]]&amp;"| "&amp;MasterTable[[#This Row],[Due Date]]&amp;"| "&amp;MasterTable[[#This Row],[Task Name]]</f>
        <v>37| 45464| Approve leave</v>
      </c>
    </row>
    <row r="39" spans="1:8" x14ac:dyDescent="0.3">
      <c r="A39" s="8">
        <v>38</v>
      </c>
      <c r="B39" s="9">
        <v>45533</v>
      </c>
      <c r="C39" s="10" t="s">
        <v>41</v>
      </c>
      <c r="D39" s="10" t="s">
        <v>25</v>
      </c>
      <c r="E39" s="10"/>
      <c r="F39" s="8"/>
      <c r="G39" s="10" t="s">
        <v>28</v>
      </c>
      <c r="H39" s="10" t="str">
        <f>MasterTable[[#This Row],[S.No.]]&amp;"| "&amp;MasterTable[[#This Row],[Due Date]]&amp;"| "&amp;MasterTable[[#This Row],[Task Name]]</f>
        <v>38| 45533| Approve leave</v>
      </c>
    </row>
    <row r="40" spans="1:8" x14ac:dyDescent="0.3">
      <c r="A40" s="8">
        <v>39</v>
      </c>
      <c r="B40" s="9">
        <v>45565</v>
      </c>
      <c r="C40" s="10" t="s">
        <v>41</v>
      </c>
      <c r="D40" s="10" t="s">
        <v>22</v>
      </c>
      <c r="E40" s="10"/>
      <c r="F40" s="8"/>
      <c r="G40" s="10" t="s">
        <v>28</v>
      </c>
      <c r="H40" s="10" t="str">
        <f>MasterTable[[#This Row],[S.No.]]&amp;"| "&amp;MasterTable[[#This Row],[Due Date]]&amp;"| "&amp;MasterTable[[#This Row],[Task Name]]</f>
        <v>39| 45565| Approve leave</v>
      </c>
    </row>
    <row r="41" spans="1:8" x14ac:dyDescent="0.3">
      <c r="A41" s="8">
        <v>40</v>
      </c>
      <c r="B41" s="9">
        <v>45509</v>
      </c>
      <c r="C41" s="10" t="s">
        <v>41</v>
      </c>
      <c r="D41" s="10" t="s">
        <v>22</v>
      </c>
      <c r="E41" s="10" t="s">
        <v>4</v>
      </c>
      <c r="F41" s="9">
        <v>45510</v>
      </c>
      <c r="G41" s="10"/>
      <c r="H41" s="10" t="str">
        <f>MasterTable[[#This Row],[S.No.]]&amp;"| "&amp;MasterTable[[#This Row],[Due Date]]&amp;"| "&amp;MasterTable[[#This Row],[Task Name]]</f>
        <v>40| 45509| Approve leave</v>
      </c>
    </row>
    <row r="42" spans="1:8" x14ac:dyDescent="0.3">
      <c r="A42" s="8">
        <v>41</v>
      </c>
      <c r="B42" s="9">
        <v>45509</v>
      </c>
      <c r="C42" s="10" t="s">
        <v>41</v>
      </c>
      <c r="D42" s="10" t="s">
        <v>25</v>
      </c>
      <c r="E42" s="10" t="s">
        <v>5</v>
      </c>
      <c r="F42" s="8"/>
      <c r="G42" s="10" t="s">
        <v>29</v>
      </c>
      <c r="H42" s="10" t="str">
        <f>MasterTable[[#This Row],[S.No.]]&amp;"| "&amp;MasterTable[[#This Row],[Due Date]]&amp;"| "&amp;MasterTable[[#This Row],[Task Name]]</f>
        <v>41| 45509| Approve leave</v>
      </c>
    </row>
    <row r="43" spans="1:8" x14ac:dyDescent="0.3">
      <c r="A43" s="8">
        <v>42</v>
      </c>
      <c r="B43" s="9">
        <v>45510</v>
      </c>
      <c r="C43" s="10" t="s">
        <v>41</v>
      </c>
      <c r="D43" s="10" t="s">
        <v>22</v>
      </c>
      <c r="E43" s="10"/>
      <c r="F43" s="8"/>
      <c r="G43" s="10" t="s">
        <v>26</v>
      </c>
      <c r="H43" s="10" t="str">
        <f>MasterTable[[#This Row],[S.No.]]&amp;"| "&amp;MasterTable[[#This Row],[Due Date]]&amp;"| "&amp;MasterTable[[#This Row],[Task Name]]</f>
        <v>42| 45510| Approve leave</v>
      </c>
    </row>
    <row r="44" spans="1:8" x14ac:dyDescent="0.3">
      <c r="A44" s="8">
        <v>43</v>
      </c>
      <c r="B44" s="9">
        <v>45511</v>
      </c>
      <c r="C44" s="10" t="s">
        <v>35</v>
      </c>
      <c r="D44" s="10" t="s">
        <v>25</v>
      </c>
      <c r="E44" s="10"/>
      <c r="F44" s="8"/>
      <c r="G44" s="10" t="s">
        <v>26</v>
      </c>
      <c r="H44" s="10" t="str">
        <f>MasterTable[[#This Row],[S.No.]]&amp;"| "&amp;MasterTable[[#This Row],[Due Date]]&amp;"| "&amp;MasterTable[[#This Row],[Task Name]]</f>
        <v>43| 45511| Interpreting Data</v>
      </c>
    </row>
  </sheetData>
  <dataValidations count="2">
    <dataValidation type="list" allowBlank="1" showInputMessage="1" showErrorMessage="1" sqref="D2:D44" xr:uid="{2AF32701-2C9E-4DA0-BEB0-1900EA787907}">
      <formula1>$M$3:$M$5</formula1>
    </dataValidation>
    <dataValidation type="list" allowBlank="1" showInputMessage="1" showErrorMessage="1" sqref="E2:E44" xr:uid="{83E52898-FC7F-48E6-8016-1DC2D4A6A432}">
      <formula1>$N$3:$N$7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30B46-7B12-4807-90B9-5D091A693002}">
  <sheetPr codeName="Sheet2"/>
  <dimension ref="A1:F13"/>
  <sheetViews>
    <sheetView workbookViewId="0">
      <selection activeCell="I31" sqref="I31"/>
    </sheetView>
  </sheetViews>
  <sheetFormatPr defaultRowHeight="14.4" x14ac:dyDescent="0.3"/>
  <cols>
    <col min="5" max="5" width="18.33203125" customWidth="1"/>
  </cols>
  <sheetData>
    <row r="1" spans="1:6" ht="15" x14ac:dyDescent="0.3">
      <c r="A1" s="1" t="s">
        <v>0</v>
      </c>
      <c r="E1" s="4" t="s">
        <v>1</v>
      </c>
      <c r="F1" s="3" cm="1">
        <f t="array" ref="F1">SUMPRODUCT(--(LEN(Table2[Task Name])&gt;0))</f>
        <v>11</v>
      </c>
    </row>
    <row r="2" spans="1:6" ht="15" x14ac:dyDescent="0.3">
      <c r="A2" s="2">
        <f ca="1">EOMONTH(TODAY(),-2)+1</f>
        <v>45474</v>
      </c>
      <c r="E2" s="4" t="s">
        <v>2</v>
      </c>
      <c r="F2" s="3">
        <f>COUNTIF(Table2[Status],"Not Started")</f>
        <v>2</v>
      </c>
    </row>
    <row r="3" spans="1:6" ht="15" x14ac:dyDescent="0.3">
      <c r="A3" s="2">
        <f ca="1">EOMONTH(TODAY(),-1)+1</f>
        <v>45505</v>
      </c>
      <c r="E3" s="4" t="s">
        <v>3</v>
      </c>
      <c r="F3" s="3">
        <f>COUNTIF(Table2[Status],"In Progress")</f>
        <v>4</v>
      </c>
    </row>
    <row r="4" spans="1:6" ht="15" x14ac:dyDescent="0.3">
      <c r="A4" s="2">
        <f ca="1">EOMONTH(TODAY(),1)</f>
        <v>45565</v>
      </c>
      <c r="E4" s="4" t="s">
        <v>4</v>
      </c>
      <c r="F4" s="3">
        <f>COUNTIF(Table2[Status],"Deferred")</f>
        <v>2</v>
      </c>
    </row>
    <row r="5" spans="1:6" ht="15" x14ac:dyDescent="0.3">
      <c r="A5" s="2">
        <f ca="1">EOMONTH(TODAY(),2)</f>
        <v>45596</v>
      </c>
      <c r="E5" s="4" t="s">
        <v>5</v>
      </c>
      <c r="F5" s="3">
        <f>COUNTIF(Table2[Status],"Completed")</f>
        <v>0</v>
      </c>
    </row>
    <row r="6" spans="1:6" x14ac:dyDescent="0.3">
      <c r="A6" s="2">
        <f ca="1">EOMONTH(TODAY(),3)</f>
        <v>45626</v>
      </c>
    </row>
    <row r="7" spans="1:6" x14ac:dyDescent="0.3">
      <c r="A7" s="2">
        <f ca="1">EOMONTH(TODAY(),4)</f>
        <v>45657</v>
      </c>
    </row>
    <row r="8" spans="1:6" ht="15" x14ac:dyDescent="0.3">
      <c r="A8" s="2">
        <f ca="1">EOMONTH(TODAY(),5)</f>
        <v>45688</v>
      </c>
      <c r="E8" s="5" t="s">
        <v>6</v>
      </c>
      <c r="F8" s="11">
        <f>IF($F$1&gt;0,1,0)</f>
        <v>1</v>
      </c>
    </row>
    <row r="9" spans="1:6" ht="15" x14ac:dyDescent="0.3">
      <c r="A9" s="2">
        <f ca="1">EOMONTH(TODAY(),6)</f>
        <v>45716</v>
      </c>
      <c r="E9" s="5" t="s">
        <v>5</v>
      </c>
      <c r="F9" s="11">
        <f>$F$5/$F$1</f>
        <v>0</v>
      </c>
    </row>
    <row r="10" spans="1:6" x14ac:dyDescent="0.3">
      <c r="A10" s="2">
        <f ca="1">EOMONTH(TODAY(),7)</f>
        <v>45747</v>
      </c>
    </row>
    <row r="11" spans="1:6" x14ac:dyDescent="0.3">
      <c r="A11" s="2">
        <f ca="1">EOMONTH(TODAY(),8)</f>
        <v>45777</v>
      </c>
    </row>
    <row r="12" spans="1:6" x14ac:dyDescent="0.3">
      <c r="A12" s="2">
        <f ca="1">EOMONTH(TODAY(),9)</f>
        <v>45808</v>
      </c>
    </row>
    <row r="13" spans="1:6" x14ac:dyDescent="0.3">
      <c r="A13" s="2">
        <f ca="1">EOMONTH(TODAY(),10)</f>
        <v>45838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To-Do List</vt:lpstr>
      <vt:lpstr>Master List</vt:lpstr>
      <vt:lpstr>Support</vt:lpstr>
      <vt:lpstr>IA</vt:lpstr>
      <vt:lpstr>previous_start</vt:lpstr>
      <vt:lpstr>Priority_list</vt:lpstr>
      <vt:lpstr>start</vt:lpstr>
      <vt:lpstr>Status_names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Pragati Goel</dc:creator>
  <cp:lastModifiedBy>Pragati Goel</cp:lastModifiedBy>
  <dcterms:created xsi:type="dcterms:W3CDTF">2024-07-26T12:31:53Z</dcterms:created>
  <dcterms:modified xsi:type="dcterms:W3CDTF">2024-08-08T13:00:28Z</dcterms:modified>
</cp:coreProperties>
</file>